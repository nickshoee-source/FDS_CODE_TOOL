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Quarterly - Peers" sheetId="2" state="visible" r:id="rId2"/>
    <sheet name="HBAN Quarterly" sheetId="3" state="visible" r:id="rId3"/>
    <sheet name="Annual - CAMELS Test" sheetId="4" state="visible" r:id="rId4"/>
    <sheet name="Estimates - Peers" sheetId="5" state="visible" r:id="rId5"/>
    <sheet name="HBAN Estimates 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[&gt;100]&quot;NM&quot;;[&lt;0]&quot;NM&quot;;#,##0.00&quot;x&quot;"/>
    <numFmt numFmtId="165" formatCode="[&lt;0]&quot;NM&quot;;#,##0.00&quot;x&quot;"/>
    <numFmt numFmtId="166" formatCode="$#,##0.00_);($#,##0.00)"/>
    <numFmt numFmtId="167" formatCode="#,##0.00&quot;%&quot;_);(#,##0.00&quot;%&quot;)"/>
    <numFmt numFmtId="168" formatCode="$#,##0.00#_);($#,##0.00#)"/>
  </numFmts>
  <fonts count="13">
    <font>
      <name val="Calibri"/>
      <family val="2"/>
      <color theme="1"/>
      <sz val="11"/>
      <scheme val="minor"/>
    </font>
    <font>
      <name val="Arial"/>
      <b val="1"/>
      <color rgb="FF1F4E78"/>
      <sz val="12"/>
    </font>
    <font>
      <name val="Arial"/>
      <i val="1"/>
      <color rgb="FF595959"/>
      <sz val="8"/>
    </font>
    <font>
      <name val="Arial"/>
      <b val="1"/>
      <sz val="9"/>
    </font>
    <font>
      <name val="Arial"/>
      <b val="1"/>
      <color rgb="FF1F4E78"/>
      <sz val="9"/>
    </font>
    <font>
      <name val="Arial"/>
      <sz val="9"/>
    </font>
    <font>
      <name val="Consolas"/>
      <sz val="8"/>
    </font>
    <font>
      <name val="Arial"/>
      <color rgb="FF2E7D32"/>
      <sz val="8"/>
    </font>
    <font>
      <name val="Arial"/>
      <b val="1"/>
      <color rgb="FF1F4E78"/>
      <sz val="10"/>
    </font>
    <font>
      <name val="Arial"/>
      <color rgb="FF595959"/>
      <sz val="8"/>
    </font>
    <font>
      <name val="Arial"/>
      <color rgb="FFB26A00"/>
      <sz val="8"/>
    </font>
    <font>
      <name val="Arial"/>
      <b val="1"/>
      <color rgb="FF1F4E78"/>
      <sz val="14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D9E7F5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8">
    <xf numFmtId="0" fontId="0" fillId="0" borderId="0" pivotButton="0" quotePrefix="0" xfId="0"/>
    <xf numFmtId="0" fontId="11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12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center" wrapText="1"/>
    </xf>
    <xf numFmtId="0" fontId="8" fillId="3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168" fontId="5" fillId="0" borderId="0" pivotButton="0" quotePrefix="0" xfId="0"/>
    <xf numFmtId="39" fontId="5" fillId="0" borderId="0" pivotButton="0" quotePrefix="0" xfId="0"/>
    <xf numFmtId="37" fontId="5" fillId="0" borderId="0" pivotButton="0" quotePrefix="0" xfId="0"/>
    <xf numFmtId="0" fontId="3" fillId="2" borderId="0" pivotButton="0" quotePrefix="0" xfId="0"/>
    <xf numFmtId="0" fontId="9" fillId="4" borderId="1" applyAlignment="1" pivotButton="0" quotePrefix="0" xfId="0">
      <alignment horizontal="center"/>
    </xf>
    <xf numFmtId="0" fontId="10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1">
    <dxf>
      <font>
        <color rgb="FF9E9E9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FactSet =FDS code test workbook</t>
        </is>
      </c>
    </row>
    <row r="2">
      <c r="A2" s="2" t="inlineStr">
        <is>
          <t>Purpose: check which FactSet codes return data for HBAN, US peers and a few global banks.</t>
        </is>
      </c>
    </row>
    <row r="3">
      <c r="A3" s="2" t="inlineStr"/>
    </row>
    <row r="4">
      <c r="A4" s="3" t="inlineStr">
        <is>
          <t>How to use</t>
        </is>
      </c>
    </row>
    <row r="5">
      <c r="A5" s="2" t="inlineStr">
        <is>
          <t>1. Open in Excel with the FactSet add-in loaded, then refresh (FactSet ribbon &gt; Refresh / Recalculate).</t>
        </is>
      </c>
    </row>
    <row r="6">
      <c r="A6" s="2" t="inlineStr">
        <is>
          <t>2. Blue cells are inputs - tickers, quarters and fiscal years can be changed.</t>
        </is>
      </c>
    </row>
    <row r="7">
      <c r="A7" s="2" t="inlineStr">
        <is>
          <t>3. "-" means no data for that code / company / period (shown in grey).</t>
        </is>
      </c>
    </row>
    <row r="8">
      <c r="A8" s="2" t="inlineStr">
        <is>
          <t>4. Save the refreshed file and send it back - Claude runs tools/harvest_codes.py on it to mark which</t>
        </is>
      </c>
    </row>
    <row r="9">
      <c r="A9" s="4" t="inlineStr">
        <is>
          <t xml:space="preserve">   codes returned numbers and updates the catalog.</t>
        </is>
      </c>
    </row>
    <row r="10">
      <c r="A10" s="2" t="inlineStr"/>
    </row>
    <row r="11">
      <c r="A11" s="3" t="inlineStr">
        <is>
          <t>Sheets</t>
        </is>
      </c>
    </row>
    <row r="12">
      <c r="A12" s="4" t="inlineStr">
        <is>
          <t>Quarterly - Peers      ~65 quarterly codes for HBAN, FITB, RF, KEY, PNC in one quarter (C3).</t>
        </is>
      </c>
    </row>
    <row r="13">
      <c r="A13" s="4" t="inlineStr">
        <is>
          <t>HBAN Quarterly         the same codes for HBAN across 8 quarters (2024/3F - 2026/2F).</t>
        </is>
      </c>
    </row>
    <row r="14">
      <c r="A14" s="4" t="inlineStr">
        <is>
          <t>Annual - CAMELS Test   25 CAMELS metrics pulled via FFI_, FF_, FB_ and the FFI@FF@FB chain, for 3 US and</t>
        </is>
      </c>
    </row>
    <row r="15">
      <c r="A15" s="4" t="inlineStr">
        <is>
          <t xml:space="preserve">                       3 global banks (HSBA-GB, SAN-ES, NAB-AU). Shows which family works per bank.</t>
        </is>
      </c>
    </row>
    <row r="16">
      <c r="A16" s="4" t="inlineStr">
        <is>
          <t>Estimates - Peers      consensus NTM / FY1 / FY2, valuation, next quarter and LTM actuals (FE_).</t>
        </is>
      </c>
    </row>
    <row r="17">
      <c r="A17" s="4" t="inlineStr">
        <is>
          <t>HBAN Estimates TS      FE_TIMESERIES spills for 12 future quarters (one formula per row in column E).</t>
        </is>
      </c>
    </row>
    <row r="18">
      <c r="A18" s="2" t="inlineStr"/>
    </row>
    <row r="19">
      <c r="A19" s="3" t="inlineStr">
        <is>
          <t>Catalog status column</t>
        </is>
      </c>
    </row>
    <row r="20">
      <c r="A20" s="4" t="inlineStr">
        <is>
          <t>Verified        the code returned numbers in an earlier refreshed file.</t>
        </is>
      </c>
    </row>
    <row r="21">
      <c r="A21" s="4" t="inlineStr">
        <is>
          <t>Untested        the code is in FactSet's code lists but has not been tested yet.</t>
        </is>
      </c>
    </row>
    <row r="22">
      <c r="A22" s="4" t="inlineStr">
        <is>
          <t>Not in catalog  the code is not in FactSet's code lists - most likely to fail.</t>
        </is>
      </c>
    </row>
    <row r="23">
      <c r="A23" s="4" t="inlineStr">
        <is>
          <t>Chain           cross-family @ fallback (FFI@FF@FB) - proven in the Oct 2026 refresh; takes the first</t>
        </is>
      </c>
    </row>
    <row r="24">
      <c r="A24" s="4" t="inlineStr">
        <is>
          <t xml:space="preserve">                family that returns a number, even a wrong one (check outliers).</t>
        </is>
      </c>
    </row>
    <row r="25">
      <c r="A25" s="4" t="inlineStr">
        <is>
          <t>Cell math       calculated in Excel from the rows above.</t>
        </is>
      </c>
    </row>
    <row r="26">
      <c r="A26" s="2" t="inlineStr"/>
    </row>
    <row r="27">
      <c r="A27" s="3" t="inlineStr">
        <is>
          <t>Units</t>
        </is>
      </c>
    </row>
    <row r="28">
      <c r="A28" s="2" t="inlineStr">
        <is>
          <t>$ in millions; per-share in $; % as whole numbers (10.5 = 10.5%). NCO ratio and deposit cost are</t>
        </is>
      </c>
    </row>
    <row r="29">
      <c r="A29" s="2" t="inlineStr">
        <is>
          <t>quarterly rates x4; FF_EFF_RATIO is a fraction x100. FB_ codes cover US banks only.</t>
        </is>
      </c>
    </row>
    <row r="30">
      <c r="A30" s="2" t="inlineStr">
        <is>
          <t>Outside Excel+FactSet every formula shows #NAME? - that is expected.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topLeftCell="A1" zoomScale="9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4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5" t="inlineStr">
        <is>
          <t>Quarterly code test - US peers, one quarter</t>
        </is>
      </c>
    </row>
    <row r="2">
      <c r="A2" s="6" t="inlineStr">
        <is>
          <t>$ in millions (USD), per-share in $, % as whole numbers. Blue cells are inputs - change the quarter or tickers and refresh.</t>
        </is>
      </c>
    </row>
    <row r="3">
      <c r="B3" s="7" t="inlineStr">
        <is>
          <t>Quarter</t>
        </is>
      </c>
      <c r="C3" s="8" t="inlineStr">
        <is>
          <t>2026/2F</t>
        </is>
      </c>
    </row>
    <row r="4">
      <c r="B4" s="7" t="inlineStr">
        <is>
          <t>Prior quarter (TSR start)</t>
        </is>
      </c>
      <c r="C4" s="8" t="inlineStr">
        <is>
          <t>2026/1F</t>
        </is>
      </c>
    </row>
    <row r="6">
      <c r="A6" s="9" t="inlineStr">
        <is>
          <t>Category</t>
        </is>
      </c>
      <c r="B6" s="9" t="inlineStr">
        <is>
          <t>Metric</t>
        </is>
      </c>
      <c r="C6" s="9" t="inlineStr">
        <is>
          <t>FactSet code</t>
        </is>
      </c>
      <c r="D6" s="9" t="inlineStr">
        <is>
          <t>Catalog status</t>
        </is>
      </c>
      <c r="E6" s="10" t="inlineStr">
        <is>
          <t>HBAN</t>
        </is>
      </c>
      <c r="F6" s="10" t="inlineStr">
        <is>
          <t>FITB</t>
        </is>
      </c>
      <c r="G6" s="10" t="inlineStr">
        <is>
          <t>RF</t>
        </is>
      </c>
      <c r="H6" s="10" t="inlineStr">
        <is>
          <t>KEY</t>
        </is>
      </c>
      <c r="I6" s="10" t="inlineStr">
        <is>
          <t>PNC</t>
        </is>
      </c>
    </row>
    <row r="7">
      <c r="A7" s="6" t="inlineStr"/>
      <c r="B7" s="2" t="inlineStr">
        <is>
          <t>Company name</t>
        </is>
      </c>
      <c r="C7" s="11" t="inlineStr">
        <is>
          <t>FG_COMPANY_NAME</t>
        </is>
      </c>
      <c r="D7" s="12" t="inlineStr">
        <is>
          <t>Verified</t>
        </is>
      </c>
      <c r="E7" s="13">
        <f>_xlfn.IFNA(FDS(E$6,"FG_COMPANY_NAME"),"-")</f>
        <v/>
      </c>
      <c r="F7" s="13">
        <f>_xlfn.IFNA(FDS(F$6,"FG_COMPANY_NAME"),"-")</f>
        <v/>
      </c>
      <c r="G7" s="13">
        <f>_xlfn.IFNA(FDS(G$6,"FG_COMPANY_NAME"),"-")</f>
        <v/>
      </c>
      <c r="H7" s="13">
        <f>_xlfn.IFNA(FDS(H$6,"FG_COMPANY_NAME"),"-")</f>
        <v/>
      </c>
      <c r="I7" s="13">
        <f>_xlfn.IFNA(FDS(I$6,"FG_COMPANY_NAME"),"-")</f>
        <v/>
      </c>
    </row>
    <row r="8">
      <c r="A8" s="14" t="inlineStr">
        <is>
          <t>Valuation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</row>
    <row r="9">
      <c r="A9" s="6" t="inlineStr"/>
      <c r="B9" s="2" t="inlineStr">
        <is>
          <t>P/E</t>
        </is>
      </c>
      <c r="C9" s="11" t="inlineStr">
        <is>
          <t>FF_PE(QTR,{p})</t>
        </is>
      </c>
      <c r="D9" s="12" t="inlineStr">
        <is>
          <t>Verified</t>
        </is>
      </c>
      <c r="E9" s="15">
        <f>_xlfn.IFNA(FDS(E$6,"FF_PE(QTR,"&amp;$C$3&amp;")"),"-")</f>
        <v/>
      </c>
      <c r="F9" s="15">
        <f>_xlfn.IFNA(FDS(F$6,"FF_PE(QTR,"&amp;$C$3&amp;")"),"-")</f>
        <v/>
      </c>
      <c r="G9" s="15">
        <f>_xlfn.IFNA(FDS(G$6,"FF_PE(QTR,"&amp;$C$3&amp;")"),"-")</f>
        <v/>
      </c>
      <c r="H9" s="15">
        <f>_xlfn.IFNA(FDS(H$6,"FF_PE(QTR,"&amp;$C$3&amp;")"),"-")</f>
        <v/>
      </c>
      <c r="I9" s="15">
        <f>_xlfn.IFNA(FDS(I$6,"FF_PE(QTR,"&amp;$C$3&amp;")"),"-")</f>
        <v/>
      </c>
    </row>
    <row r="10">
      <c r="A10" s="6" t="inlineStr"/>
      <c r="B10" s="2" t="inlineStr">
        <is>
          <t>P/B</t>
        </is>
      </c>
      <c r="C10" s="11" t="inlineStr">
        <is>
          <t>FF_PBK(QTR,{p})</t>
        </is>
      </c>
      <c r="D10" s="12" t="inlineStr">
        <is>
          <t>Verified</t>
        </is>
      </c>
      <c r="E10" s="16">
        <f>_xlfn.IFNA(FDS(E$6,"FF_PBK(QTR,"&amp;$C$3&amp;")"),"-")</f>
        <v/>
      </c>
      <c r="F10" s="16">
        <f>_xlfn.IFNA(FDS(F$6,"FF_PBK(QTR,"&amp;$C$3&amp;")"),"-")</f>
        <v/>
      </c>
      <c r="G10" s="16">
        <f>_xlfn.IFNA(FDS(G$6,"FF_PBK(QTR,"&amp;$C$3&amp;")"),"-")</f>
        <v/>
      </c>
      <c r="H10" s="16">
        <f>_xlfn.IFNA(FDS(H$6,"FF_PBK(QTR,"&amp;$C$3&amp;")"),"-")</f>
        <v/>
      </c>
      <c r="I10" s="16">
        <f>_xlfn.IFNA(FDS(I$6,"FF_PBK(QTR,"&amp;$C$3&amp;")"),"-")</f>
        <v/>
      </c>
    </row>
    <row r="11">
      <c r="A11" s="6" t="inlineStr"/>
      <c r="B11" s="2" t="inlineStr">
        <is>
          <t>P/TBV</t>
        </is>
      </c>
      <c r="C11" s="11" t="inlineStr">
        <is>
          <t>FF_PBK_TANG(QTR,{p})</t>
        </is>
      </c>
      <c r="D11" s="12" t="inlineStr">
        <is>
          <t>Verified</t>
        </is>
      </c>
      <c r="E11" s="16">
        <f>_xlfn.IFNA(FDS(E$6,"FF_PBK_TANG(QTR,"&amp;$C$3&amp;")"),"-")</f>
        <v/>
      </c>
      <c r="F11" s="16">
        <f>_xlfn.IFNA(FDS(F$6,"FF_PBK_TANG(QTR,"&amp;$C$3&amp;")"),"-")</f>
        <v/>
      </c>
      <c r="G11" s="16">
        <f>_xlfn.IFNA(FDS(G$6,"FF_PBK_TANG(QTR,"&amp;$C$3&amp;")"),"-")</f>
        <v/>
      </c>
      <c r="H11" s="16">
        <f>_xlfn.IFNA(FDS(H$6,"FF_PBK_TANG(QTR,"&amp;$C$3&amp;")"),"-")</f>
        <v/>
      </c>
      <c r="I11" s="16">
        <f>_xlfn.IFNA(FDS(I$6,"FF_PBK_TANG(QTR,"&amp;$C$3&amp;")"),"-")</f>
        <v/>
      </c>
    </row>
    <row r="12">
      <c r="A12" s="6" t="inlineStr"/>
      <c r="B12" s="2" t="inlineStr">
        <is>
          <t>Market cap ($M)</t>
        </is>
      </c>
      <c r="C12" s="11" t="inlineStr">
        <is>
          <t>FF_MKT_VAL(QTR,{p})</t>
        </is>
      </c>
      <c r="D12" s="12" t="inlineStr">
        <is>
          <t>Verified</t>
        </is>
      </c>
      <c r="E12" s="17">
        <f>_xlfn.IFNA(FDS(E$6,"FF_MKT_VAL(QTR,"&amp;$C$3&amp;")"),"-")</f>
        <v/>
      </c>
      <c r="F12" s="17">
        <f>_xlfn.IFNA(FDS(F$6,"FF_MKT_VAL(QTR,"&amp;$C$3&amp;")"),"-")</f>
        <v/>
      </c>
      <c r="G12" s="17">
        <f>_xlfn.IFNA(FDS(G$6,"FF_MKT_VAL(QTR,"&amp;$C$3&amp;")"),"-")</f>
        <v/>
      </c>
      <c r="H12" s="17">
        <f>_xlfn.IFNA(FDS(H$6,"FF_MKT_VAL(QTR,"&amp;$C$3&amp;")"),"-")</f>
        <v/>
      </c>
      <c r="I12" s="17">
        <f>_xlfn.IFNA(FDS(I$6,"FF_MKT_VAL(QTR,"&amp;$C$3&amp;")"),"-")</f>
        <v/>
      </c>
    </row>
    <row r="13">
      <c r="A13" s="6" t="inlineStr"/>
      <c r="B13" s="2" t="inlineStr">
        <is>
          <t>Enterprise value ($M)</t>
        </is>
      </c>
      <c r="C13" s="11" t="inlineStr">
        <is>
          <t>FF_ENTRPR_VAL(QTR,{p})</t>
        </is>
      </c>
      <c r="D13" s="12" t="inlineStr">
        <is>
          <t>Verified</t>
        </is>
      </c>
      <c r="E13" s="17">
        <f>_xlfn.IFNA(FDS(E$6,"FF_ENTRPR_VAL(QTR,"&amp;$C$3&amp;")"),"-")</f>
        <v/>
      </c>
      <c r="F13" s="17">
        <f>_xlfn.IFNA(FDS(F$6,"FF_ENTRPR_VAL(QTR,"&amp;$C$3&amp;")"),"-")</f>
        <v/>
      </c>
      <c r="G13" s="17">
        <f>_xlfn.IFNA(FDS(G$6,"FF_ENTRPR_VAL(QTR,"&amp;$C$3&amp;")"),"-")</f>
        <v/>
      </c>
      <c r="H13" s="17">
        <f>_xlfn.IFNA(FDS(H$6,"FF_ENTRPR_VAL(QTR,"&amp;$C$3&amp;")"),"-")</f>
        <v/>
      </c>
      <c r="I13" s="17">
        <f>_xlfn.IFNA(FDS(I$6,"FF_ENTRPR_VAL(QTR,"&amp;$C$3&amp;")"),"-")</f>
        <v/>
      </c>
    </row>
    <row r="14">
      <c r="A14" s="6" t="inlineStr"/>
      <c r="B14" s="2" t="inlineStr">
        <is>
          <t>Share price ($)</t>
        </is>
      </c>
      <c r="C14" s="11" t="inlineStr">
        <is>
          <t>P_PRICE({p})</t>
        </is>
      </c>
      <c r="D14" s="12" t="inlineStr">
        <is>
          <t>Verified</t>
        </is>
      </c>
      <c r="E14" s="17">
        <f>_xlfn.IFNA(FDS(E$6,"P_PRICE("&amp;$C$3&amp;")"),"-")</f>
        <v/>
      </c>
      <c r="F14" s="17">
        <f>_xlfn.IFNA(FDS(F$6,"P_PRICE("&amp;$C$3&amp;")"),"-")</f>
        <v/>
      </c>
      <c r="G14" s="17">
        <f>_xlfn.IFNA(FDS(G$6,"P_PRICE("&amp;$C$3&amp;")"),"-")</f>
        <v/>
      </c>
      <c r="H14" s="17">
        <f>_xlfn.IFNA(FDS(H$6,"P_PRICE("&amp;$C$3&amp;")"),"-")</f>
        <v/>
      </c>
      <c r="I14" s="17">
        <f>_xlfn.IFNA(FDS(I$6,"P_PRICE("&amp;$C$3&amp;")"),"-")</f>
        <v/>
      </c>
    </row>
    <row r="15">
      <c r="A15" s="14" t="inlineStr">
        <is>
          <t>Shareholder returns</t>
        </is>
      </c>
      <c r="B15" s="14" t="n"/>
      <c r="C15" s="14" t="n"/>
      <c r="D15" s="14" t="n"/>
      <c r="E15" s="14" t="n"/>
      <c r="F15" s="14" t="n"/>
      <c r="G15" s="14" t="n"/>
      <c r="H15" s="14" t="n"/>
      <c r="I15" s="14" t="n"/>
    </row>
    <row r="16">
      <c r="A16" s="6" t="inlineStr"/>
      <c r="B16" s="2" t="inlineStr">
        <is>
          <t>TSR - quarter (%)</t>
        </is>
      </c>
      <c r="C16" s="11" t="inlineStr">
        <is>
          <t>P_PRICE_RETURNS(2,{q},{p})   (whole %; prior quarter -&gt; this quarter)</t>
        </is>
      </c>
      <c r="D16" s="12" t="inlineStr">
        <is>
          <t>Verified</t>
        </is>
      </c>
      <c r="E16" s="18">
        <f>_xlfn.IFNA(FDS(E$6,"P_PRICE_RETURNS(2,"&amp;$C$4&amp;","&amp;$C$3&amp;")"),"-")</f>
        <v/>
      </c>
      <c r="F16" s="18">
        <f>_xlfn.IFNA(FDS(F$6,"P_PRICE_RETURNS(2,"&amp;$C$4&amp;","&amp;$C$3&amp;")"),"-")</f>
        <v/>
      </c>
      <c r="G16" s="18">
        <f>_xlfn.IFNA(FDS(G$6,"P_PRICE_RETURNS(2,"&amp;$C$4&amp;","&amp;$C$3&amp;")"),"-")</f>
        <v/>
      </c>
      <c r="H16" s="18">
        <f>_xlfn.IFNA(FDS(H$6,"P_PRICE_RETURNS(2,"&amp;$C$4&amp;","&amp;$C$3&amp;")"),"-")</f>
        <v/>
      </c>
      <c r="I16" s="18">
        <f>_xlfn.IFNA(FDS(I$6,"P_PRICE_RETURNS(2,"&amp;$C$4&amp;","&amp;$C$3&amp;")"),"-")</f>
        <v/>
      </c>
    </row>
    <row r="17">
      <c r="A17" s="6" t="inlineStr"/>
      <c r="B17" s="2" t="inlineStr">
        <is>
          <t>Dividend yield (%)</t>
        </is>
      </c>
      <c r="C17" s="11" t="inlineStr">
        <is>
          <t>FF_DIV_YLD(QTR,{p})</t>
        </is>
      </c>
      <c r="D17" s="12" t="inlineStr">
        <is>
          <t>Verified</t>
        </is>
      </c>
      <c r="E17" s="18">
        <f>_xlfn.IFNA(FDS(E$6,"FF_DIV_YLD(QTR,"&amp;$C$3&amp;")"),"-")</f>
        <v/>
      </c>
      <c r="F17" s="18">
        <f>_xlfn.IFNA(FDS(F$6,"FF_DIV_YLD(QTR,"&amp;$C$3&amp;")"),"-")</f>
        <v/>
      </c>
      <c r="G17" s="18">
        <f>_xlfn.IFNA(FDS(G$6,"FF_DIV_YLD(QTR,"&amp;$C$3&amp;")"),"-")</f>
        <v/>
      </c>
      <c r="H17" s="18">
        <f>_xlfn.IFNA(FDS(H$6,"FF_DIV_YLD(QTR,"&amp;$C$3&amp;")"),"-")</f>
        <v/>
      </c>
      <c r="I17" s="18">
        <f>_xlfn.IFNA(FDS(I$6,"FF_DIV_YLD(QTR,"&amp;$C$3&amp;")"),"-")</f>
        <v/>
      </c>
    </row>
    <row r="18">
      <c r="A18" s="6" t="inlineStr"/>
      <c r="B18" s="2" t="inlineStr">
        <is>
          <t>Payout ratio (%)</t>
        </is>
      </c>
      <c r="C18" s="11" t="inlineStr">
        <is>
          <t>FF_PAY_OUT_RATIO(QTR,{p})</t>
        </is>
      </c>
      <c r="D18" s="12" t="inlineStr">
        <is>
          <t>Verified</t>
        </is>
      </c>
      <c r="E18" s="18">
        <f>_xlfn.IFNA(FDS(E$6,"FF_PAY_OUT_RATIO(QTR,"&amp;$C$3&amp;")"),"-")</f>
        <v/>
      </c>
      <c r="F18" s="18">
        <f>_xlfn.IFNA(FDS(F$6,"FF_PAY_OUT_RATIO(QTR,"&amp;$C$3&amp;")"),"-")</f>
        <v/>
      </c>
      <c r="G18" s="18">
        <f>_xlfn.IFNA(FDS(G$6,"FF_PAY_OUT_RATIO(QTR,"&amp;$C$3&amp;")"),"-")</f>
        <v/>
      </c>
      <c r="H18" s="18">
        <f>_xlfn.IFNA(FDS(H$6,"FF_PAY_OUT_RATIO(QTR,"&amp;$C$3&amp;")"),"-")</f>
        <v/>
      </c>
      <c r="I18" s="18">
        <f>_xlfn.IFNA(FDS(I$6,"FF_PAY_OUT_RATIO(QTR,"&amp;$C$3&amp;")"),"-")</f>
        <v/>
      </c>
    </row>
    <row r="19">
      <c r="A19" s="6" t="inlineStr"/>
      <c r="B19" s="2" t="inlineStr">
        <is>
          <t>Dividends paid ($M)</t>
        </is>
      </c>
      <c r="C19" s="11" t="inlineStr">
        <is>
          <t>FF_DIV_CF(QTR,{p})</t>
        </is>
      </c>
      <c r="D19" s="12" t="inlineStr">
        <is>
          <t>Verified</t>
        </is>
      </c>
      <c r="E19" s="17">
        <f>_xlfn.IFNA(FDS(E$6,"FF_DIV_CF(QTR,"&amp;$C$3&amp;")"),"-")</f>
        <v/>
      </c>
      <c r="F19" s="17">
        <f>_xlfn.IFNA(FDS(F$6,"FF_DIV_CF(QTR,"&amp;$C$3&amp;")"),"-")</f>
        <v/>
      </c>
      <c r="G19" s="17">
        <f>_xlfn.IFNA(FDS(G$6,"FF_DIV_CF(QTR,"&amp;$C$3&amp;")"),"-")</f>
        <v/>
      </c>
      <c r="H19" s="17">
        <f>_xlfn.IFNA(FDS(H$6,"FF_DIV_CF(QTR,"&amp;$C$3&amp;")"),"-")</f>
        <v/>
      </c>
      <c r="I19" s="17">
        <f>_xlfn.IFNA(FDS(I$6,"FF_DIV_CF(QTR,"&amp;$C$3&amp;")"),"-")</f>
        <v/>
      </c>
    </row>
    <row r="20">
      <c r="A20" s="6" t="inlineStr"/>
      <c r="B20" s="2" t="inlineStr">
        <is>
          <t>Share repurchases ($M)</t>
        </is>
      </c>
      <c r="C20" s="11" t="inlineStr">
        <is>
          <t>FF_SHS_REPURCH(TOTAL_VAL_REPURCH,QTR,{p})</t>
        </is>
      </c>
      <c r="D20" s="12" t="inlineStr">
        <is>
          <t>Verified</t>
        </is>
      </c>
      <c r="E20" s="17">
        <f>_xlfn.IFNA(FDS(E$6,"FF_SHS_REPURCH(TOTAL_VAL_REPURCH,QTR,"&amp;$C$3&amp;")"),"-")</f>
        <v/>
      </c>
      <c r="F20" s="17">
        <f>_xlfn.IFNA(FDS(F$6,"FF_SHS_REPURCH(TOTAL_VAL_REPURCH,QTR,"&amp;$C$3&amp;")"),"-")</f>
        <v/>
      </c>
      <c r="G20" s="17">
        <f>_xlfn.IFNA(FDS(G$6,"FF_SHS_REPURCH(TOTAL_VAL_REPURCH,QTR,"&amp;$C$3&amp;")"),"-")</f>
        <v/>
      </c>
      <c r="H20" s="17">
        <f>_xlfn.IFNA(FDS(H$6,"FF_SHS_REPURCH(TOTAL_VAL_REPURCH,QTR,"&amp;$C$3&amp;")"),"-")</f>
        <v/>
      </c>
      <c r="I20" s="17">
        <f>_xlfn.IFNA(FDS(I$6,"FF_SHS_REPURCH(TOTAL_VAL_REPURCH,QTR,"&amp;$C$3&amp;")"),"-")</f>
        <v/>
      </c>
    </row>
    <row r="21">
      <c r="A21" s="6" t="inlineStr"/>
      <c r="B21" s="2" t="inlineStr">
        <is>
          <t>DPS ($)</t>
        </is>
      </c>
      <c r="C21" s="11" t="inlineStr">
        <is>
          <t>FF_DPS(QTR,{p})</t>
        </is>
      </c>
      <c r="D21" s="12" t="inlineStr">
        <is>
          <t>Verified</t>
        </is>
      </c>
      <c r="E21" s="19">
        <f>_xlfn.IFNA(FDS(E$6,"FF_DPS(QTR,"&amp;$C$3&amp;")"),"-")</f>
        <v/>
      </c>
      <c r="F21" s="19">
        <f>_xlfn.IFNA(FDS(F$6,"FF_DPS(QTR,"&amp;$C$3&amp;")"),"-")</f>
        <v/>
      </c>
      <c r="G21" s="19">
        <f>_xlfn.IFNA(FDS(G$6,"FF_DPS(QTR,"&amp;$C$3&amp;")"),"-")</f>
        <v/>
      </c>
      <c r="H21" s="19">
        <f>_xlfn.IFNA(FDS(H$6,"FF_DPS(QTR,"&amp;$C$3&amp;")"),"-")</f>
        <v/>
      </c>
      <c r="I21" s="19">
        <f>_xlfn.IFNA(FDS(I$6,"FF_DPS(QTR,"&amp;$C$3&amp;")"),"-")</f>
        <v/>
      </c>
    </row>
    <row r="22">
      <c r="A22" s="6" t="inlineStr"/>
      <c r="B22" s="2" t="inlineStr">
        <is>
          <t>Shares outstanding (M)</t>
        </is>
      </c>
      <c r="C22" s="11" t="inlineStr">
        <is>
          <t>FF_COM_SHS_OUT(QTR_R,{p})</t>
        </is>
      </c>
      <c r="D22" s="12" t="inlineStr">
        <is>
          <t>Verified</t>
        </is>
      </c>
      <c r="E22" s="20">
        <f>_xlfn.IFNA(FDS(E$6,"FF_COM_SHS_OUT(QTR_R,"&amp;$C$3&amp;")"),"-")</f>
        <v/>
      </c>
      <c r="F22" s="20">
        <f>_xlfn.IFNA(FDS(F$6,"FF_COM_SHS_OUT(QTR_R,"&amp;$C$3&amp;")"),"-")</f>
        <v/>
      </c>
      <c r="G22" s="20">
        <f>_xlfn.IFNA(FDS(G$6,"FF_COM_SHS_OUT(QTR_R,"&amp;$C$3&amp;")"),"-")</f>
        <v/>
      </c>
      <c r="H22" s="20">
        <f>_xlfn.IFNA(FDS(H$6,"FF_COM_SHS_OUT(QTR_R,"&amp;$C$3&amp;")"),"-")</f>
        <v/>
      </c>
      <c r="I22" s="20">
        <f>_xlfn.IFNA(FDS(I$6,"FF_COM_SHS_OUT(QTR_R,"&amp;$C$3&amp;")"),"-")</f>
        <v/>
      </c>
    </row>
    <row r="23">
      <c r="A23" s="6" t="inlineStr"/>
      <c r="B23" s="2" t="inlineStr">
        <is>
          <t>Stock repurchase CF ($M)</t>
        </is>
      </c>
      <c r="C23" s="11" t="inlineStr">
        <is>
          <t>FF_STK_PURCH_CF(QTR_R,{p})</t>
        </is>
      </c>
      <c r="D23" s="12" t="inlineStr">
        <is>
          <t>Verified</t>
        </is>
      </c>
      <c r="E23" s="17">
        <f>_xlfn.IFNA(FDS(E$6,"FF_STK_PURCH_CF(QTR_R,"&amp;$C$3&amp;")"),"-")</f>
        <v/>
      </c>
      <c r="F23" s="17">
        <f>_xlfn.IFNA(FDS(F$6,"FF_STK_PURCH_CF(QTR_R,"&amp;$C$3&amp;")"),"-")</f>
        <v/>
      </c>
      <c r="G23" s="17">
        <f>_xlfn.IFNA(FDS(G$6,"FF_STK_PURCH_CF(QTR_R,"&amp;$C$3&amp;")"),"-")</f>
        <v/>
      </c>
      <c r="H23" s="17">
        <f>_xlfn.IFNA(FDS(H$6,"FF_STK_PURCH_CF(QTR_R,"&amp;$C$3&amp;")"),"-")</f>
        <v/>
      </c>
      <c r="I23" s="17">
        <f>_xlfn.IFNA(FDS(I$6,"FF_STK_PURCH_CF(QTR_R,"&amp;$C$3&amp;")"),"-")</f>
        <v/>
      </c>
    </row>
    <row r="24">
      <c r="A24" s="6" t="inlineStr"/>
      <c r="B24" s="2" t="inlineStr">
        <is>
          <t>Company market value ($M)</t>
        </is>
      </c>
      <c r="C24" s="11" t="inlineStr">
        <is>
          <t>FREF_MARKET_VALUE_COMPANY({p},,,,,0,,"LEGACY")</t>
        </is>
      </c>
      <c r="D24" s="12" t="inlineStr">
        <is>
          <t>Verified</t>
        </is>
      </c>
      <c r="E24" s="17">
        <f>_xlfn.IFNA(FDS(E$6,"FREF_MARKET_VALUE_COMPANY("&amp;$C$3&amp;",,,,,0,,""LEGACY"")"),"-")</f>
        <v/>
      </c>
      <c r="F24" s="17">
        <f>_xlfn.IFNA(FDS(F$6,"FREF_MARKET_VALUE_COMPANY("&amp;$C$3&amp;",,,,,0,,""LEGACY"")"),"-")</f>
        <v/>
      </c>
      <c r="G24" s="17">
        <f>_xlfn.IFNA(FDS(G$6,"FREF_MARKET_VALUE_COMPANY("&amp;$C$3&amp;",,,,,0,,""LEGACY"")"),"-")</f>
        <v/>
      </c>
      <c r="H24" s="17">
        <f>_xlfn.IFNA(FDS(H$6,"FREF_MARKET_VALUE_COMPANY("&amp;$C$3&amp;",,,,,0,,""LEGACY"")"),"-")</f>
        <v/>
      </c>
      <c r="I24" s="17">
        <f>_xlfn.IFNA(FDS(I$6,"FREF_MARKET_VALUE_COMPANY("&amp;$C$3&amp;",,,,,0,,""LEGACY"")"),"-")</f>
        <v/>
      </c>
    </row>
    <row r="25">
      <c r="A25" s="14" t="inlineStr">
        <is>
          <t>Profitability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</row>
    <row r="26">
      <c r="A26" s="6" t="inlineStr"/>
      <c r="B26" s="2" t="inlineStr">
        <is>
          <t>ROTCE (%)</t>
        </is>
      </c>
      <c r="C26" s="11" t="inlineStr">
        <is>
          <t>FB_ROTCE(QTR,{p})   (FF_ROTCE quarterly returned NA)</t>
        </is>
      </c>
      <c r="D26" s="12" t="inlineStr">
        <is>
          <t>Verified</t>
        </is>
      </c>
      <c r="E26" s="18">
        <f>_xlfn.IFNA(FDS(E$6,"FB_ROTCE(QTR,"&amp;$C$3&amp;")"),"-")</f>
        <v/>
      </c>
      <c r="F26" s="18">
        <f>_xlfn.IFNA(FDS(F$6,"FB_ROTCE(QTR,"&amp;$C$3&amp;")"),"-")</f>
        <v/>
      </c>
      <c r="G26" s="18">
        <f>_xlfn.IFNA(FDS(G$6,"FB_ROTCE(QTR,"&amp;$C$3&amp;")"),"-")</f>
        <v/>
      </c>
      <c r="H26" s="18">
        <f>_xlfn.IFNA(FDS(H$6,"FB_ROTCE(QTR,"&amp;$C$3&amp;")"),"-")</f>
        <v/>
      </c>
      <c r="I26" s="18">
        <f>_xlfn.IFNA(FDS(I$6,"FB_ROTCE(QTR,"&amp;$C$3&amp;")"),"-")</f>
        <v/>
      </c>
    </row>
    <row r="27">
      <c r="A27" s="6" t="inlineStr"/>
      <c r="B27" s="2" t="inlineStr">
        <is>
          <t>ROE (%)</t>
        </is>
      </c>
      <c r="C27" s="11" t="inlineStr">
        <is>
          <t>FF_ROE(QTR,{p},,,,,,"D=1")</t>
        </is>
      </c>
      <c r="D27" s="12" t="inlineStr">
        <is>
          <t>Verified</t>
        </is>
      </c>
      <c r="E27" s="18">
        <f>_xlfn.IFNA(FDS(E$6,"FF_ROE(QTR,"&amp;$C$3&amp;",,,,,,""D=1"")"),"-")</f>
        <v/>
      </c>
      <c r="F27" s="18">
        <f>_xlfn.IFNA(FDS(F$6,"FF_ROE(QTR,"&amp;$C$3&amp;",,,,,,""D=1"")"),"-")</f>
        <v/>
      </c>
      <c r="G27" s="18">
        <f>_xlfn.IFNA(FDS(G$6,"FF_ROE(QTR,"&amp;$C$3&amp;",,,,,,""D=1"")"),"-")</f>
        <v/>
      </c>
      <c r="H27" s="18">
        <f>_xlfn.IFNA(FDS(H$6,"FF_ROE(QTR,"&amp;$C$3&amp;",,,,,,""D=1"")"),"-")</f>
        <v/>
      </c>
      <c r="I27" s="18">
        <f>_xlfn.IFNA(FDS(I$6,"FF_ROE(QTR,"&amp;$C$3&amp;",,,,,,""D=1"")"),"-")</f>
        <v/>
      </c>
    </row>
    <row r="28">
      <c r="A28" s="6" t="inlineStr"/>
      <c r="B28" s="2" t="inlineStr">
        <is>
          <t>ROA (%)</t>
        </is>
      </c>
      <c r="C28" s="11" t="inlineStr">
        <is>
          <t>FF_ROA(QTR_R,{p},,,,,,"D=1")</t>
        </is>
      </c>
      <c r="D28" s="12" t="inlineStr">
        <is>
          <t>Verified</t>
        </is>
      </c>
      <c r="E28" s="18">
        <f>_xlfn.IFNA(FDS(E$6,"FF_ROA(QTR_R,"&amp;$C$3&amp;",,,,,,""D=1"")"),"-")</f>
        <v/>
      </c>
      <c r="F28" s="18">
        <f>_xlfn.IFNA(FDS(F$6,"FF_ROA(QTR_R,"&amp;$C$3&amp;",,,,,,""D=1"")"),"-")</f>
        <v/>
      </c>
      <c r="G28" s="18">
        <f>_xlfn.IFNA(FDS(G$6,"FF_ROA(QTR_R,"&amp;$C$3&amp;",,,,,,""D=1"")"),"-")</f>
        <v/>
      </c>
      <c r="H28" s="18">
        <f>_xlfn.IFNA(FDS(H$6,"FF_ROA(QTR_R,"&amp;$C$3&amp;",,,,,,""D=1"")"),"-")</f>
        <v/>
      </c>
      <c r="I28" s="18">
        <f>_xlfn.IFNA(FDS(I$6,"FF_ROA(QTR_R,"&amp;$C$3&amp;",,,,,,""D=1"")"),"-")</f>
        <v/>
      </c>
    </row>
    <row r="29">
      <c r="A29" s="6" t="inlineStr"/>
      <c r="B29" s="2" t="inlineStr">
        <is>
          <t>EPS ($)</t>
        </is>
      </c>
      <c r="C29" s="11" t="inlineStr">
        <is>
          <t>FF_EPS(QTR_R,{p})</t>
        </is>
      </c>
      <c r="D29" s="12" t="inlineStr">
        <is>
          <t>Verified</t>
        </is>
      </c>
      <c r="E29" s="19">
        <f>_xlfn.IFNA(FDS(E$6,"FF_EPS(QTR_R,"&amp;$C$3&amp;")"),"-")</f>
        <v/>
      </c>
      <c r="F29" s="19">
        <f>_xlfn.IFNA(FDS(F$6,"FF_EPS(QTR_R,"&amp;$C$3&amp;")"),"-")</f>
        <v/>
      </c>
      <c r="G29" s="19">
        <f>_xlfn.IFNA(FDS(G$6,"FF_EPS(QTR_R,"&amp;$C$3&amp;")"),"-")</f>
        <v/>
      </c>
      <c r="H29" s="19">
        <f>_xlfn.IFNA(FDS(H$6,"FF_EPS(QTR_R,"&amp;$C$3&amp;")"),"-")</f>
        <v/>
      </c>
      <c r="I29" s="19">
        <f>_xlfn.IFNA(FDS(I$6,"FF_EPS(QTR_R,"&amp;$C$3&amp;")"),"-")</f>
        <v/>
      </c>
    </row>
    <row r="30">
      <c r="A30" s="6" t="inlineStr"/>
      <c r="B30" s="2" t="inlineStr">
        <is>
          <t>Net income ($M)</t>
        </is>
      </c>
      <c r="C30" s="11" t="inlineStr">
        <is>
          <t>FF_NET_INC(QTR,{p})</t>
        </is>
      </c>
      <c r="D30" s="12" t="inlineStr">
        <is>
          <t>Verified</t>
        </is>
      </c>
      <c r="E30" s="17">
        <f>_xlfn.IFNA(FDS(E$6,"FF_NET_INC(QTR,"&amp;$C$3&amp;")"),"-")</f>
        <v/>
      </c>
      <c r="F30" s="17">
        <f>_xlfn.IFNA(FDS(F$6,"FF_NET_INC(QTR,"&amp;$C$3&amp;")"),"-")</f>
        <v/>
      </c>
      <c r="G30" s="17">
        <f>_xlfn.IFNA(FDS(G$6,"FF_NET_INC(QTR,"&amp;$C$3&amp;")"),"-")</f>
        <v/>
      </c>
      <c r="H30" s="17">
        <f>_xlfn.IFNA(FDS(H$6,"FF_NET_INC(QTR,"&amp;$C$3&amp;")"),"-")</f>
        <v/>
      </c>
      <c r="I30" s="17">
        <f>_xlfn.IFNA(FDS(I$6,"FF_NET_INC(QTR,"&amp;$C$3&amp;")"),"-")</f>
        <v/>
      </c>
    </row>
    <row r="31">
      <c r="A31" s="6" t="inlineStr"/>
      <c r="B31" s="2" t="inlineStr">
        <is>
          <t>PPNR ($M)</t>
        </is>
      </c>
      <c r="C31" s="11" t="inlineStr">
        <is>
          <t>FF_PPNR(QTR,{p})</t>
        </is>
      </c>
      <c r="D31" s="12" t="inlineStr">
        <is>
          <t>Verified</t>
        </is>
      </c>
      <c r="E31" s="17">
        <f>_xlfn.IFNA(FDS(E$6,"FF_PPNR(QTR,"&amp;$C$3&amp;")"),"-")</f>
        <v/>
      </c>
      <c r="F31" s="17">
        <f>_xlfn.IFNA(FDS(F$6,"FF_PPNR(QTR,"&amp;$C$3&amp;")"),"-")</f>
        <v/>
      </c>
      <c r="G31" s="17">
        <f>_xlfn.IFNA(FDS(G$6,"FF_PPNR(QTR,"&amp;$C$3&amp;")"),"-")</f>
        <v/>
      </c>
      <c r="H31" s="17">
        <f>_xlfn.IFNA(FDS(H$6,"FF_PPNR(QTR,"&amp;$C$3&amp;")"),"-")</f>
        <v/>
      </c>
      <c r="I31" s="17">
        <f>_xlfn.IFNA(FDS(I$6,"FF_PPNR(QTR,"&amp;$C$3&amp;")"),"-")</f>
        <v/>
      </c>
    </row>
    <row r="32">
      <c r="A32" s="6" t="inlineStr"/>
      <c r="B32" s="2" t="inlineStr">
        <is>
          <t>Effective tax rate (%)</t>
        </is>
      </c>
      <c r="C32" s="11" t="inlineStr">
        <is>
          <t>FF_TAX_RATE(QTR_R,{p})</t>
        </is>
      </c>
      <c r="D32" s="12" t="inlineStr">
        <is>
          <t>Verified</t>
        </is>
      </c>
      <c r="E32" s="18">
        <f>_xlfn.IFNA(FDS(E$6,"FF_TAX_RATE(QTR_R,"&amp;$C$3&amp;")"),"-")</f>
        <v/>
      </c>
      <c r="F32" s="18">
        <f>_xlfn.IFNA(FDS(F$6,"FF_TAX_RATE(QTR_R,"&amp;$C$3&amp;")"),"-")</f>
        <v/>
      </c>
      <c r="G32" s="18">
        <f>_xlfn.IFNA(FDS(G$6,"FF_TAX_RATE(QTR_R,"&amp;$C$3&amp;")"),"-")</f>
        <v/>
      </c>
      <c r="H32" s="18">
        <f>_xlfn.IFNA(FDS(H$6,"FF_TAX_RATE(QTR_R,"&amp;$C$3&amp;")"),"-")</f>
        <v/>
      </c>
      <c r="I32" s="18">
        <f>_xlfn.IFNA(FDS(I$6,"FF_TAX_RATE(QTR_R,"&amp;$C$3&amp;")"),"-")</f>
        <v/>
      </c>
    </row>
    <row r="33">
      <c r="A33" s="14" t="inlineStr">
        <is>
          <t>Revenue</t>
        </is>
      </c>
      <c r="B33" s="14" t="n"/>
      <c r="C33" s="14" t="n"/>
      <c r="D33" s="14" t="n"/>
      <c r="E33" s="14" t="n"/>
      <c r="F33" s="14" t="n"/>
      <c r="G33" s="14" t="n"/>
      <c r="H33" s="14" t="n"/>
      <c r="I33" s="14" t="n"/>
    </row>
    <row r="34">
      <c r="A34" s="6" t="inlineStr"/>
      <c r="B34" s="2" t="inlineStr">
        <is>
          <t>Net interest income ($M)</t>
        </is>
      </c>
      <c r="C34" s="11" t="inlineStr">
        <is>
          <t>FF_INT_INC_NET(QTR_R,{p})</t>
        </is>
      </c>
      <c r="D34" s="12" t="inlineStr">
        <is>
          <t>Verified</t>
        </is>
      </c>
      <c r="E34" s="17">
        <f>_xlfn.IFNA(FDS(E$6,"FF_INT_INC_NET(QTR_R,"&amp;$C$3&amp;")"),"-")</f>
        <v/>
      </c>
      <c r="F34" s="17">
        <f>_xlfn.IFNA(FDS(F$6,"FF_INT_INC_NET(QTR_R,"&amp;$C$3&amp;")"),"-")</f>
        <v/>
      </c>
      <c r="G34" s="17">
        <f>_xlfn.IFNA(FDS(G$6,"FF_INT_INC_NET(QTR_R,"&amp;$C$3&amp;")"),"-")</f>
        <v/>
      </c>
      <c r="H34" s="17">
        <f>_xlfn.IFNA(FDS(H$6,"FF_INT_INC_NET(QTR_R,"&amp;$C$3&amp;")"),"-")</f>
        <v/>
      </c>
      <c r="I34" s="17">
        <f>_xlfn.IFNA(FDS(I$6,"FF_INT_INC_NET(QTR_R,"&amp;$C$3&amp;")"),"-")</f>
        <v/>
      </c>
    </row>
    <row r="35">
      <c r="A35" s="6" t="inlineStr"/>
      <c r="B35" s="2" t="inlineStr">
        <is>
          <t>Non-interest income ($M)</t>
        </is>
      </c>
      <c r="C35" s="11" t="inlineStr">
        <is>
          <t>FF_NON_INT_INC(QTR,{p})</t>
        </is>
      </c>
      <c r="D35" s="12" t="inlineStr">
        <is>
          <t>Verified</t>
        </is>
      </c>
      <c r="E35" s="17">
        <f>_xlfn.IFNA(FDS(E$6,"FF_NON_INT_INC(QTR,"&amp;$C$3&amp;")"),"-")</f>
        <v/>
      </c>
      <c r="F35" s="17">
        <f>_xlfn.IFNA(FDS(F$6,"FF_NON_INT_INC(QTR,"&amp;$C$3&amp;")"),"-")</f>
        <v/>
      </c>
      <c r="G35" s="17">
        <f>_xlfn.IFNA(FDS(G$6,"FF_NON_INT_INC(QTR,"&amp;$C$3&amp;")"),"-")</f>
        <v/>
      </c>
      <c r="H35" s="17">
        <f>_xlfn.IFNA(FDS(H$6,"FF_NON_INT_INC(QTR,"&amp;$C$3&amp;")"),"-")</f>
        <v/>
      </c>
      <c r="I35" s="17">
        <f>_xlfn.IFNA(FDS(I$6,"FF_NON_INT_INC(QTR,"&amp;$C$3&amp;")"),"-")</f>
        <v/>
      </c>
    </row>
    <row r="36">
      <c r="A36" s="6" t="inlineStr"/>
      <c r="B36" s="2" t="inlineStr">
        <is>
          <t>Total revenue ($M)</t>
        </is>
      </c>
      <c r="C36" s="11" t="inlineStr">
        <is>
          <t>cell math: NII + non-interest income</t>
        </is>
      </c>
      <c r="D36" s="6" t="inlineStr">
        <is>
          <t>Cell math</t>
        </is>
      </c>
      <c r="E36" s="17">
        <f>IFERROR(E34+E35,"-")</f>
        <v/>
      </c>
      <c r="F36" s="17">
        <f>IFERROR(F34+F35,"-")</f>
        <v/>
      </c>
      <c r="G36" s="17">
        <f>IFERROR(G34+G35,"-")</f>
        <v/>
      </c>
      <c r="H36" s="17">
        <f>IFERROR(H34+H35,"-")</f>
        <v/>
      </c>
      <c r="I36" s="17">
        <f>IFERROR(I34+I35,"-")</f>
        <v/>
      </c>
    </row>
    <row r="37">
      <c r="A37" s="14" t="inlineStr">
        <is>
          <t>Efficiency</t>
        </is>
      </c>
      <c r="B37" s="14" t="n"/>
      <c r="C37" s="14" t="n"/>
      <c r="D37" s="14" t="n"/>
      <c r="E37" s="14" t="n"/>
      <c r="F37" s="14" t="n"/>
      <c r="G37" s="14" t="n"/>
      <c r="H37" s="14" t="n"/>
      <c r="I37" s="14" t="n"/>
    </row>
    <row r="38">
      <c r="A38" s="6" t="inlineStr"/>
      <c r="B38" s="2" t="inlineStr">
        <is>
          <t>Efficiency ratio (%) - FF_EFF_RATIO x100</t>
        </is>
      </c>
      <c r="C38" s="11" t="inlineStr">
        <is>
          <t>FF_EFF_RATIO(QTR_R,{p})  x100   (code returns a fraction, x100)</t>
        </is>
      </c>
      <c r="D38" s="12" t="inlineStr">
        <is>
          <t>Verified</t>
        </is>
      </c>
      <c r="E38" s="18">
        <f>_xlfn.IFNA(FDS(E$6,"FF_EFF_RATIO(QTR_R,"&amp;$C$3&amp;")")*100,"-")</f>
        <v/>
      </c>
      <c r="F38" s="18">
        <f>_xlfn.IFNA(FDS(F$6,"FF_EFF_RATIO(QTR_R,"&amp;$C$3&amp;")")*100,"-")</f>
        <v/>
      </c>
      <c r="G38" s="18">
        <f>_xlfn.IFNA(FDS(G$6,"FF_EFF_RATIO(QTR_R,"&amp;$C$3&amp;")")*100,"-")</f>
        <v/>
      </c>
      <c r="H38" s="18">
        <f>_xlfn.IFNA(FDS(H$6,"FF_EFF_RATIO(QTR_R,"&amp;$C$3&amp;")")*100,"-")</f>
        <v/>
      </c>
      <c r="I38" s="18">
        <f>_xlfn.IFNA(FDS(I$6,"FF_EFF_RATIO(QTR_R,"&amp;$C$3&amp;")")*100,"-")</f>
        <v/>
      </c>
    </row>
    <row r="39">
      <c r="A39" s="6" t="inlineStr"/>
      <c r="B39" s="2" t="inlineStr">
        <is>
          <t>Efficiency ratio (%) - FF_BK_EFF_RATIO</t>
        </is>
      </c>
      <c r="C39" s="11" t="inlineStr">
        <is>
          <t>FF_BK_EFF_RATIO(QTR,{p})   (whole %; compare with the row above)</t>
        </is>
      </c>
      <c r="D39" s="12" t="inlineStr">
        <is>
          <t>Verified</t>
        </is>
      </c>
      <c r="E39" s="18">
        <f>_xlfn.IFNA(FDS(E$6,"FF_BK_EFF_RATIO(QTR,"&amp;$C$3&amp;")"),"-")</f>
        <v/>
      </c>
      <c r="F39" s="18">
        <f>_xlfn.IFNA(FDS(F$6,"FF_BK_EFF_RATIO(QTR,"&amp;$C$3&amp;")"),"-")</f>
        <v/>
      </c>
      <c r="G39" s="18">
        <f>_xlfn.IFNA(FDS(G$6,"FF_BK_EFF_RATIO(QTR,"&amp;$C$3&amp;")"),"-")</f>
        <v/>
      </c>
      <c r="H39" s="18">
        <f>_xlfn.IFNA(FDS(H$6,"FF_BK_EFF_RATIO(QTR,"&amp;$C$3&amp;")"),"-")</f>
        <v/>
      </c>
      <c r="I39" s="18">
        <f>_xlfn.IFNA(FDS(I$6,"FF_BK_EFF_RATIO(QTR,"&amp;$C$3&amp;")"),"-")</f>
        <v/>
      </c>
    </row>
    <row r="40">
      <c r="A40" s="6" t="inlineStr"/>
      <c r="B40" s="2" t="inlineStr">
        <is>
          <t>Non-interest expense ($M)</t>
        </is>
      </c>
      <c r="C40" s="11" t="inlineStr">
        <is>
          <t>FF_NON_INT_EXP(QTR,{p})</t>
        </is>
      </c>
      <c r="D40" s="12" t="inlineStr">
        <is>
          <t>Verified</t>
        </is>
      </c>
      <c r="E40" s="17">
        <f>_xlfn.IFNA(FDS(E$6,"FF_NON_INT_EXP(QTR,"&amp;$C$3&amp;")"),"-")</f>
        <v/>
      </c>
      <c r="F40" s="17">
        <f>_xlfn.IFNA(FDS(F$6,"FF_NON_INT_EXP(QTR,"&amp;$C$3&amp;")"),"-")</f>
        <v/>
      </c>
      <c r="G40" s="17">
        <f>_xlfn.IFNA(FDS(G$6,"FF_NON_INT_EXP(QTR,"&amp;$C$3&amp;")"),"-")</f>
        <v/>
      </c>
      <c r="H40" s="17">
        <f>_xlfn.IFNA(FDS(H$6,"FF_NON_INT_EXP(QTR,"&amp;$C$3&amp;")"),"-")</f>
        <v/>
      </c>
      <c r="I40" s="17">
        <f>_xlfn.IFNA(FDS(I$6,"FF_NON_INT_EXP(QTR,"&amp;$C$3&amp;")"),"-")</f>
        <v/>
      </c>
    </row>
    <row r="41">
      <c r="A41" s="6" t="inlineStr"/>
      <c r="B41" s="2" t="inlineStr">
        <is>
          <t>Personnel expense ($M)</t>
        </is>
      </c>
      <c r="C41" s="11" t="inlineStr">
        <is>
          <t>FF_LABOR_EXP(QTR,{p})</t>
        </is>
      </c>
      <c r="D41" s="12" t="inlineStr">
        <is>
          <t>Verified</t>
        </is>
      </c>
      <c r="E41" s="17">
        <f>_xlfn.IFNA(FDS(E$6,"FF_LABOR_EXP(QTR,"&amp;$C$3&amp;")"),"-")</f>
        <v/>
      </c>
      <c r="F41" s="17">
        <f>_xlfn.IFNA(FDS(F$6,"FF_LABOR_EXP(QTR,"&amp;$C$3&amp;")"),"-")</f>
        <v/>
      </c>
      <c r="G41" s="17">
        <f>_xlfn.IFNA(FDS(G$6,"FF_LABOR_EXP(QTR,"&amp;$C$3&amp;")"),"-")</f>
        <v/>
      </c>
      <c r="H41" s="17">
        <f>_xlfn.IFNA(FDS(H$6,"FF_LABOR_EXP(QTR,"&amp;$C$3&amp;")"),"-")</f>
        <v/>
      </c>
      <c r="I41" s="17">
        <f>_xlfn.IFNA(FDS(I$6,"FF_LABOR_EXP(QTR,"&amp;$C$3&amp;")"),"-")</f>
        <v/>
      </c>
    </row>
    <row r="42">
      <c r="A42" s="14" t="inlineStr">
        <is>
          <t>NIM &amp; funding</t>
        </is>
      </c>
      <c r="B42" s="14" t="n"/>
      <c r="C42" s="14" t="n"/>
      <c r="D42" s="14" t="n"/>
      <c r="E42" s="14" t="n"/>
      <c r="F42" s="14" t="n"/>
      <c r="G42" s="14" t="n"/>
      <c r="H42" s="14" t="n"/>
      <c r="I42" s="14" t="n"/>
    </row>
    <row r="43">
      <c r="A43" s="6" t="inlineStr"/>
      <c r="B43" s="2" t="inlineStr">
        <is>
          <t>NIM (%)</t>
        </is>
      </c>
      <c r="C43" s="11" t="inlineStr">
        <is>
          <t>FB_INT_MGN(QTR,{p})   (FF_INT_MGN quarterly returned NA for HBAN)</t>
        </is>
      </c>
      <c r="D43" s="12" t="inlineStr">
        <is>
          <t>Verified</t>
        </is>
      </c>
      <c r="E43" s="18">
        <f>_xlfn.IFNA(FDS(E$6,"FB_INT_MGN(QTR,"&amp;$C$3&amp;")"),"-")</f>
        <v/>
      </c>
      <c r="F43" s="18">
        <f>_xlfn.IFNA(FDS(F$6,"FB_INT_MGN(QTR,"&amp;$C$3&amp;")"),"-")</f>
        <v/>
      </c>
      <c r="G43" s="18">
        <f>_xlfn.IFNA(FDS(G$6,"FB_INT_MGN(QTR,"&amp;$C$3&amp;")"),"-")</f>
        <v/>
      </c>
      <c r="H43" s="18">
        <f>_xlfn.IFNA(FDS(H$6,"FB_INT_MGN(QTR,"&amp;$C$3&amp;")"),"-")</f>
        <v/>
      </c>
      <c r="I43" s="18">
        <f>_xlfn.IFNA(FDS(I$6,"FB_INT_MGN(QTR,"&amp;$C$3&amp;")"),"-")</f>
        <v/>
      </c>
    </row>
    <row r="44">
      <c r="A44" s="6" t="inlineStr"/>
      <c r="B44" s="2" t="inlineStr">
        <is>
          <t>Earning-asset yield (%)</t>
        </is>
      </c>
      <c r="C44" s="11" t="inlineStr">
        <is>
          <t>FF_YLD_INT_EARN_ASSETS(QTR_R,{p})</t>
        </is>
      </c>
      <c r="D44" s="12" t="inlineStr">
        <is>
          <t>Verified</t>
        </is>
      </c>
      <c r="E44" s="18">
        <f>_xlfn.IFNA(FDS(E$6,"FF_YLD_INT_EARN_ASSETS(QTR_R,"&amp;$C$3&amp;")"),"-")</f>
        <v/>
      </c>
      <c r="F44" s="18">
        <f>_xlfn.IFNA(FDS(F$6,"FF_YLD_INT_EARN_ASSETS(QTR_R,"&amp;$C$3&amp;")"),"-")</f>
        <v/>
      </c>
      <c r="G44" s="18">
        <f>_xlfn.IFNA(FDS(G$6,"FF_YLD_INT_EARN_ASSETS(QTR_R,"&amp;$C$3&amp;")"),"-")</f>
        <v/>
      </c>
      <c r="H44" s="18">
        <f>_xlfn.IFNA(FDS(H$6,"FF_YLD_INT_EARN_ASSETS(QTR_R,"&amp;$C$3&amp;")"),"-")</f>
        <v/>
      </c>
      <c r="I44" s="18">
        <f>_xlfn.IFNA(FDS(I$6,"FF_YLD_INT_EARN_ASSETS(QTR_R,"&amp;$C$3&amp;")"),"-")</f>
        <v/>
      </c>
    </row>
    <row r="45">
      <c r="A45" s="6" t="inlineStr"/>
      <c r="B45" s="2" t="inlineStr">
        <is>
          <t>Total interest expense ($M)</t>
        </is>
      </c>
      <c r="C45" s="11" t="inlineStr">
        <is>
          <t>FF_INT_EXP_TOT(QTR,{p})</t>
        </is>
      </c>
      <c r="D45" s="12" t="inlineStr">
        <is>
          <t>Verified</t>
        </is>
      </c>
      <c r="E45" s="17">
        <f>_xlfn.IFNA(FDS(E$6,"FF_INT_EXP_TOT(QTR,"&amp;$C$3&amp;")"),"-")</f>
        <v/>
      </c>
      <c r="F45" s="17">
        <f>_xlfn.IFNA(FDS(F$6,"FF_INT_EXP_TOT(QTR,"&amp;$C$3&amp;")"),"-")</f>
        <v/>
      </c>
      <c r="G45" s="17">
        <f>_xlfn.IFNA(FDS(G$6,"FF_INT_EXP_TOT(QTR,"&amp;$C$3&amp;")"),"-")</f>
        <v/>
      </c>
      <c r="H45" s="17">
        <f>_xlfn.IFNA(FDS(H$6,"FF_INT_EXP_TOT(QTR,"&amp;$C$3&amp;")"),"-")</f>
        <v/>
      </c>
      <c r="I45" s="17">
        <f>_xlfn.IFNA(FDS(I$6,"FF_INT_EXP_TOT(QTR,"&amp;$C$3&amp;")"),"-")</f>
        <v/>
      </c>
    </row>
    <row r="46">
      <c r="A46" s="6" t="inlineStr"/>
      <c r="B46" s="2" t="inlineStr">
        <is>
          <t>Avg interest-bearing liabilities ($M)</t>
        </is>
      </c>
      <c r="C46" s="11" t="inlineStr">
        <is>
          <t>FF_BK_AVG_LIABS_INTB(QTR_TOT,{p})</t>
        </is>
      </c>
      <c r="D46" s="12" t="inlineStr">
        <is>
          <t>Verified</t>
        </is>
      </c>
      <c r="E46" s="17">
        <f>_xlfn.IFNA(FDS(E$6,"FF_BK_AVG_LIABS_INTB(QTR_TOT,"&amp;$C$3&amp;")"),"-")</f>
        <v/>
      </c>
      <c r="F46" s="17">
        <f>_xlfn.IFNA(FDS(F$6,"FF_BK_AVG_LIABS_INTB(QTR_TOT,"&amp;$C$3&amp;")"),"-")</f>
        <v/>
      </c>
      <c r="G46" s="17">
        <f>_xlfn.IFNA(FDS(G$6,"FF_BK_AVG_LIABS_INTB(QTR_TOT,"&amp;$C$3&amp;")"),"-")</f>
        <v/>
      </c>
      <c r="H46" s="17">
        <f>_xlfn.IFNA(FDS(H$6,"FF_BK_AVG_LIABS_INTB(QTR_TOT,"&amp;$C$3&amp;")"),"-")</f>
        <v/>
      </c>
      <c r="I46" s="17">
        <f>_xlfn.IFNA(FDS(I$6,"FF_BK_AVG_LIABS_INTB(QTR_TOT,"&amp;$C$3&amp;")"),"-")</f>
        <v/>
      </c>
    </row>
    <row r="47">
      <c r="A47" s="6" t="inlineStr"/>
      <c r="B47" s="2" t="inlineStr">
        <is>
          <t>Cost of funds (%, annualized)</t>
        </is>
      </c>
      <c r="C47" s="11" t="inlineStr">
        <is>
          <t>cell math: int. expense / avg IBL x100 x4</t>
        </is>
      </c>
      <c r="D47" s="6" t="inlineStr">
        <is>
          <t>Cell math</t>
        </is>
      </c>
      <c r="E47" s="18">
        <f>IFERROR((E45/E46)*100*4,"-")</f>
        <v/>
      </c>
      <c r="F47" s="18">
        <f>IFERROR((F45/F46)*100*4,"-")</f>
        <v/>
      </c>
      <c r="G47" s="18">
        <f>IFERROR((G45/G46)*100*4,"-")</f>
        <v/>
      </c>
      <c r="H47" s="18">
        <f>IFERROR((H45/H46)*100*4,"-")</f>
        <v/>
      </c>
      <c r="I47" s="18">
        <f>IFERROR((I45/I46)*100*4,"-")</f>
        <v/>
      </c>
    </row>
    <row r="48">
      <c r="A48" s="6" t="inlineStr"/>
      <c r="B48" s="2" t="inlineStr">
        <is>
          <t>Deposit cost (%, annualized)</t>
        </is>
      </c>
      <c r="C48" s="11" t="inlineStr">
        <is>
          <t>FF_COST_DEPS(QTR,{p})  x4   (quarterly rate, x4)</t>
        </is>
      </c>
      <c r="D48" s="12" t="inlineStr">
        <is>
          <t>Verified</t>
        </is>
      </c>
      <c r="E48" s="18">
        <f>_xlfn.IFNA(FDS(E$6,"FF_COST_DEPS(QTR,"&amp;$C$3&amp;")")*4,"-")</f>
        <v/>
      </c>
      <c r="F48" s="18">
        <f>_xlfn.IFNA(FDS(F$6,"FF_COST_DEPS(QTR,"&amp;$C$3&amp;")")*4,"-")</f>
        <v/>
      </c>
      <c r="G48" s="18">
        <f>_xlfn.IFNA(FDS(G$6,"FF_COST_DEPS(QTR,"&amp;$C$3&amp;")")*4,"-")</f>
        <v/>
      </c>
      <c r="H48" s="18">
        <f>_xlfn.IFNA(FDS(H$6,"FF_COST_DEPS(QTR,"&amp;$C$3&amp;")")*4,"-")</f>
        <v/>
      </c>
      <c r="I48" s="18">
        <f>_xlfn.IFNA(FDS(I$6,"FF_COST_DEPS(QTR,"&amp;$C$3&amp;")")*4,"-")</f>
        <v/>
      </c>
    </row>
    <row r="49">
      <c r="A49" s="6" t="inlineStr"/>
      <c r="B49" s="2" t="inlineStr">
        <is>
          <t>IB liability cost (%)</t>
        </is>
      </c>
      <c r="C49" s="11" t="inlineStr">
        <is>
          <t>FF_BK_INT_COST_INTB_AVG(QTR,{p})   (matched cost of funds in an earlier test)</t>
        </is>
      </c>
      <c r="D49" s="12" t="inlineStr">
        <is>
          <t>Verified</t>
        </is>
      </c>
      <c r="E49" s="18">
        <f>_xlfn.IFNA(FDS(E$6,"FF_BK_INT_COST_INTB_AVG(QTR,"&amp;$C$3&amp;")"),"-")</f>
        <v/>
      </c>
      <c r="F49" s="18">
        <f>_xlfn.IFNA(FDS(F$6,"FF_BK_INT_COST_INTB_AVG(QTR,"&amp;$C$3&amp;")"),"-")</f>
        <v/>
      </c>
      <c r="G49" s="18">
        <f>_xlfn.IFNA(FDS(G$6,"FF_BK_INT_COST_INTB_AVG(QTR,"&amp;$C$3&amp;")"),"-")</f>
        <v/>
      </c>
      <c r="H49" s="18">
        <f>_xlfn.IFNA(FDS(H$6,"FF_BK_INT_COST_INTB_AVG(QTR,"&amp;$C$3&amp;")"),"-")</f>
        <v/>
      </c>
      <c r="I49" s="18">
        <f>_xlfn.IFNA(FDS(I$6,"FF_BK_INT_COST_INTB_AVG(QTR,"&amp;$C$3&amp;")"),"-")</f>
        <v/>
      </c>
    </row>
    <row r="50">
      <c r="A50" s="6" t="inlineStr"/>
      <c r="B50" s="2" t="inlineStr">
        <is>
          <t>Funding cost (%)</t>
        </is>
      </c>
      <c r="C50" s="11" t="inlineStr">
        <is>
          <t>FF_BK_COST(QTR_NINTB_LIABS,{p})   (matched cost of funds in an earlier test)</t>
        </is>
      </c>
      <c r="D50" s="12" t="inlineStr">
        <is>
          <t>Verified</t>
        </is>
      </c>
      <c r="E50" s="18">
        <f>_xlfn.IFNA(FDS(E$6,"FF_BK_COST(QTR_NINTB_LIABS,"&amp;$C$3&amp;")"),"-")</f>
        <v/>
      </c>
      <c r="F50" s="18">
        <f>_xlfn.IFNA(FDS(F$6,"FF_BK_COST(QTR_NINTB_LIABS,"&amp;$C$3&amp;")"),"-")</f>
        <v/>
      </c>
      <c r="G50" s="18">
        <f>_xlfn.IFNA(FDS(G$6,"FF_BK_COST(QTR_NINTB_LIABS,"&amp;$C$3&amp;")"),"-")</f>
        <v/>
      </c>
      <c r="H50" s="18">
        <f>_xlfn.IFNA(FDS(H$6,"FF_BK_COST(QTR_NINTB_LIABS,"&amp;$C$3&amp;")"),"-")</f>
        <v/>
      </c>
      <c r="I50" s="18">
        <f>_xlfn.IFNA(FDS(I$6,"FF_BK_COST(QTR_NINTB_LIABS,"&amp;$C$3&amp;")"),"-")</f>
        <v/>
      </c>
    </row>
    <row r="51">
      <c r="A51" s="6" t="inlineStr"/>
      <c r="B51" s="2" t="inlineStr">
        <is>
          <t>Net interest spread (%)</t>
        </is>
      </c>
      <c r="C51" s="11" t="inlineStr">
        <is>
          <t>FF_BK_INT_SPREAD(QTR,{p})</t>
        </is>
      </c>
      <c r="D51" s="12" t="inlineStr">
        <is>
          <t>Verified</t>
        </is>
      </c>
      <c r="E51" s="18">
        <f>_xlfn.IFNA(FDS(E$6,"FF_BK_INT_SPREAD(QTR,"&amp;$C$3&amp;")"),"-")</f>
        <v/>
      </c>
      <c r="F51" s="18">
        <f>_xlfn.IFNA(FDS(F$6,"FF_BK_INT_SPREAD(QTR,"&amp;$C$3&amp;")"),"-")</f>
        <v/>
      </c>
      <c r="G51" s="18">
        <f>_xlfn.IFNA(FDS(G$6,"FF_BK_INT_SPREAD(QTR,"&amp;$C$3&amp;")"),"-")</f>
        <v/>
      </c>
      <c r="H51" s="18">
        <f>_xlfn.IFNA(FDS(H$6,"FF_BK_INT_SPREAD(QTR,"&amp;$C$3&amp;")"),"-")</f>
        <v/>
      </c>
      <c r="I51" s="18">
        <f>_xlfn.IFNA(FDS(I$6,"FF_BK_INT_SPREAD(QTR,"&amp;$C$3&amp;")"),"-")</f>
        <v/>
      </c>
    </row>
    <row r="52">
      <c r="A52" s="6" t="inlineStr"/>
      <c r="B52" s="2" t="inlineStr">
        <is>
          <t>Tax-equivalent NIM (%)</t>
        </is>
      </c>
      <c r="C52" s="11" t="inlineStr">
        <is>
          <t>FF_BK_INT_MGN_TAX_EQV(QTR,{p})</t>
        </is>
      </c>
      <c r="D52" s="12" t="inlineStr">
        <is>
          <t>Verified</t>
        </is>
      </c>
      <c r="E52" s="18">
        <f>_xlfn.IFNA(FDS(E$6,"FF_BK_INT_MGN_TAX_EQV(QTR,"&amp;$C$3&amp;")"),"-")</f>
        <v/>
      </c>
      <c r="F52" s="18">
        <f>_xlfn.IFNA(FDS(F$6,"FF_BK_INT_MGN_TAX_EQV(QTR,"&amp;$C$3&amp;")"),"-")</f>
        <v/>
      </c>
      <c r="G52" s="18">
        <f>_xlfn.IFNA(FDS(G$6,"FF_BK_INT_MGN_TAX_EQV(QTR,"&amp;$C$3&amp;")"),"-")</f>
        <v/>
      </c>
      <c r="H52" s="18">
        <f>_xlfn.IFNA(FDS(H$6,"FF_BK_INT_MGN_TAX_EQV(QTR,"&amp;$C$3&amp;")"),"-")</f>
        <v/>
      </c>
      <c r="I52" s="18">
        <f>_xlfn.IFNA(FDS(I$6,"FF_BK_INT_MGN_TAX_EQV(QTR,"&amp;$C$3&amp;")"),"-")</f>
        <v/>
      </c>
    </row>
    <row r="53">
      <c r="A53" s="14" t="inlineStr">
        <is>
          <t>Balance sheet</t>
        </is>
      </c>
      <c r="B53" s="14" t="n"/>
      <c r="C53" s="14" t="n"/>
      <c r="D53" s="14" t="n"/>
      <c r="E53" s="14" t="n"/>
      <c r="F53" s="14" t="n"/>
      <c r="G53" s="14" t="n"/>
      <c r="H53" s="14" t="n"/>
      <c r="I53" s="14" t="n"/>
    </row>
    <row r="54">
      <c r="A54" s="6" t="inlineStr"/>
      <c r="B54" s="2" t="inlineStr">
        <is>
          <t>Total assets ($M)</t>
        </is>
      </c>
      <c r="C54" s="11" t="inlineStr">
        <is>
          <t>FF_ASSETS(QTR,{p})</t>
        </is>
      </c>
      <c r="D54" s="12" t="inlineStr">
        <is>
          <t>Verified</t>
        </is>
      </c>
      <c r="E54" s="17">
        <f>_xlfn.IFNA(FDS(E$6,"FF_ASSETS(QTR,"&amp;$C$3&amp;")"),"-")</f>
        <v/>
      </c>
      <c r="F54" s="17">
        <f>_xlfn.IFNA(FDS(F$6,"FF_ASSETS(QTR,"&amp;$C$3&amp;")"),"-")</f>
        <v/>
      </c>
      <c r="G54" s="17">
        <f>_xlfn.IFNA(FDS(G$6,"FF_ASSETS(QTR,"&amp;$C$3&amp;")"),"-")</f>
        <v/>
      </c>
      <c r="H54" s="17">
        <f>_xlfn.IFNA(FDS(H$6,"FF_ASSETS(QTR,"&amp;$C$3&amp;")"),"-")</f>
        <v/>
      </c>
      <c r="I54" s="17">
        <f>_xlfn.IFNA(FDS(I$6,"FF_ASSETS(QTR,"&amp;$C$3&amp;")"),"-")</f>
        <v/>
      </c>
    </row>
    <row r="55">
      <c r="A55" s="6" t="inlineStr"/>
      <c r="B55" s="2" t="inlineStr">
        <is>
          <t>Total liabilities ($M)</t>
        </is>
      </c>
      <c r="C55" s="11" t="inlineStr">
        <is>
          <t>FF_LIABS(QTR_R,{p})</t>
        </is>
      </c>
      <c r="D55" s="12" t="inlineStr">
        <is>
          <t>Verified</t>
        </is>
      </c>
      <c r="E55" s="17">
        <f>_xlfn.IFNA(FDS(E$6,"FF_LIABS(QTR_R,"&amp;$C$3&amp;")"),"-")</f>
        <v/>
      </c>
      <c r="F55" s="17">
        <f>_xlfn.IFNA(FDS(F$6,"FF_LIABS(QTR_R,"&amp;$C$3&amp;")"),"-")</f>
        <v/>
      </c>
      <c r="G55" s="17">
        <f>_xlfn.IFNA(FDS(G$6,"FF_LIABS(QTR_R,"&amp;$C$3&amp;")"),"-")</f>
        <v/>
      </c>
      <c r="H55" s="17">
        <f>_xlfn.IFNA(FDS(H$6,"FF_LIABS(QTR_R,"&amp;$C$3&amp;")"),"-")</f>
        <v/>
      </c>
      <c r="I55" s="17">
        <f>_xlfn.IFNA(FDS(I$6,"FF_LIABS(QTR_R,"&amp;$C$3&amp;")"),"-")</f>
        <v/>
      </c>
    </row>
    <row r="56">
      <c r="A56" s="6" t="inlineStr"/>
      <c r="B56" s="2" t="inlineStr">
        <is>
          <t>Intangible assets ($M)</t>
        </is>
      </c>
      <c r="C56" s="11" t="inlineStr">
        <is>
          <t>FF_INTANG(QTR_R,{p})</t>
        </is>
      </c>
      <c r="D56" s="12" t="inlineStr">
        <is>
          <t>Verified</t>
        </is>
      </c>
      <c r="E56" s="17">
        <f>_xlfn.IFNA(FDS(E$6,"FF_INTANG(QTR_R,"&amp;$C$3&amp;")"),"-")</f>
        <v/>
      </c>
      <c r="F56" s="17">
        <f>_xlfn.IFNA(FDS(F$6,"FF_INTANG(QTR_R,"&amp;$C$3&amp;")"),"-")</f>
        <v/>
      </c>
      <c r="G56" s="17">
        <f>_xlfn.IFNA(FDS(G$6,"FF_INTANG(QTR_R,"&amp;$C$3&amp;")"),"-")</f>
        <v/>
      </c>
      <c r="H56" s="17">
        <f>_xlfn.IFNA(FDS(H$6,"FF_INTANG(QTR_R,"&amp;$C$3&amp;")"),"-")</f>
        <v/>
      </c>
      <c r="I56" s="17">
        <f>_xlfn.IFNA(FDS(I$6,"FF_INTANG(QTR_R,"&amp;$C$3&amp;")"),"-")</f>
        <v/>
      </c>
    </row>
    <row r="57">
      <c r="A57" s="6" t="inlineStr"/>
      <c r="B57" s="2" t="inlineStr">
        <is>
          <t>Average assets ($M)</t>
        </is>
      </c>
      <c r="C57" s="11" t="inlineStr">
        <is>
          <t>FF_BK_AVG_ASSETS(QTR,{p})</t>
        </is>
      </c>
      <c r="D57" s="12" t="inlineStr">
        <is>
          <t>Verified</t>
        </is>
      </c>
      <c r="E57" s="17">
        <f>_xlfn.IFNA(FDS(E$6,"FF_BK_AVG_ASSETS(QTR,"&amp;$C$3&amp;")"),"-")</f>
        <v/>
      </c>
      <c r="F57" s="17">
        <f>_xlfn.IFNA(FDS(F$6,"FF_BK_AVG_ASSETS(QTR,"&amp;$C$3&amp;")"),"-")</f>
        <v/>
      </c>
      <c r="G57" s="17">
        <f>_xlfn.IFNA(FDS(G$6,"FF_BK_AVG_ASSETS(QTR,"&amp;$C$3&amp;")"),"-")</f>
        <v/>
      </c>
      <c r="H57" s="17">
        <f>_xlfn.IFNA(FDS(H$6,"FF_BK_AVG_ASSETS(QTR,"&amp;$C$3&amp;")"),"-")</f>
        <v/>
      </c>
      <c r="I57" s="17">
        <f>_xlfn.IFNA(FDS(I$6,"FF_BK_AVG_ASSETS(QTR,"&amp;$C$3&amp;")"),"-")</f>
        <v/>
      </c>
    </row>
    <row r="58">
      <c r="A58" s="6" t="inlineStr"/>
      <c r="B58" s="2" t="inlineStr">
        <is>
          <t>Avg earning assets ($M)</t>
        </is>
      </c>
      <c r="C58" s="11" t="inlineStr">
        <is>
          <t>FF_BK_AVG_ASSETS(QTR_INTE,{p})   (an average, not EOP)</t>
        </is>
      </c>
      <c r="D58" s="12" t="inlineStr">
        <is>
          <t>Verified</t>
        </is>
      </c>
      <c r="E58" s="17">
        <f>_xlfn.IFNA(FDS(E$6,"FF_BK_AVG_ASSETS(QTR_INTE,"&amp;$C$3&amp;")"),"-")</f>
        <v/>
      </c>
      <c r="F58" s="17">
        <f>_xlfn.IFNA(FDS(F$6,"FF_BK_AVG_ASSETS(QTR_INTE,"&amp;$C$3&amp;")"),"-")</f>
        <v/>
      </c>
      <c r="G58" s="17">
        <f>_xlfn.IFNA(FDS(G$6,"FF_BK_AVG_ASSETS(QTR_INTE,"&amp;$C$3&amp;")"),"-")</f>
        <v/>
      </c>
      <c r="H58" s="17">
        <f>_xlfn.IFNA(FDS(H$6,"FF_BK_AVG_ASSETS(QTR_INTE,"&amp;$C$3&amp;")"),"-")</f>
        <v/>
      </c>
      <c r="I58" s="17">
        <f>_xlfn.IFNA(FDS(I$6,"FF_BK_AVG_ASSETS(QTR_INTE,"&amp;$C$3&amp;")"),"-")</f>
        <v/>
      </c>
    </row>
    <row r="59">
      <c r="A59" s="6" t="inlineStr"/>
      <c r="B59" s="2" t="inlineStr">
        <is>
          <t>Total loans ($M)</t>
        </is>
      </c>
      <c r="C59" s="11" t="inlineStr">
        <is>
          <t>FF_BK_LOAN_TOT(QTR,{p})</t>
        </is>
      </c>
      <c r="D59" s="12" t="inlineStr">
        <is>
          <t>Verified</t>
        </is>
      </c>
      <c r="E59" s="17">
        <f>_xlfn.IFNA(FDS(E$6,"FF_BK_LOAN_TOT(QTR,"&amp;$C$3&amp;")"),"-")</f>
        <v/>
      </c>
      <c r="F59" s="17">
        <f>_xlfn.IFNA(FDS(F$6,"FF_BK_LOAN_TOT(QTR,"&amp;$C$3&amp;")"),"-")</f>
        <v/>
      </c>
      <c r="G59" s="17">
        <f>_xlfn.IFNA(FDS(G$6,"FF_BK_LOAN_TOT(QTR,"&amp;$C$3&amp;")"),"-")</f>
        <v/>
      </c>
      <c r="H59" s="17">
        <f>_xlfn.IFNA(FDS(H$6,"FF_BK_LOAN_TOT(QTR,"&amp;$C$3&amp;")"),"-")</f>
        <v/>
      </c>
      <c r="I59" s="17">
        <f>_xlfn.IFNA(FDS(I$6,"FF_BK_LOAN_TOT(QTR,"&amp;$C$3&amp;")"),"-")</f>
        <v/>
      </c>
    </row>
    <row r="60">
      <c r="A60" s="6" t="inlineStr"/>
      <c r="B60" s="2" t="inlineStr">
        <is>
          <t>Total deposits ($M)</t>
        </is>
      </c>
      <c r="C60" s="11" t="inlineStr">
        <is>
          <t>FF_DEPS(QTR,{p})</t>
        </is>
      </c>
      <c r="D60" s="12" t="inlineStr">
        <is>
          <t>Verified</t>
        </is>
      </c>
      <c r="E60" s="17">
        <f>_xlfn.IFNA(FDS(E$6,"FF_DEPS(QTR,"&amp;$C$3&amp;")"),"-")</f>
        <v/>
      </c>
      <c r="F60" s="17">
        <f>_xlfn.IFNA(FDS(F$6,"FF_DEPS(QTR,"&amp;$C$3&amp;")"),"-")</f>
        <v/>
      </c>
      <c r="G60" s="17">
        <f>_xlfn.IFNA(FDS(G$6,"FF_DEPS(QTR,"&amp;$C$3&amp;")"),"-")</f>
        <v/>
      </c>
      <c r="H60" s="17">
        <f>_xlfn.IFNA(FDS(H$6,"FF_DEPS(QTR,"&amp;$C$3&amp;")"),"-")</f>
        <v/>
      </c>
      <c r="I60" s="17">
        <f>_xlfn.IFNA(FDS(I$6,"FF_DEPS(QTR,"&amp;$C$3&amp;")"),"-")</f>
        <v/>
      </c>
    </row>
    <row r="61">
      <c r="A61" s="6" t="inlineStr"/>
      <c r="B61" s="2" t="inlineStr">
        <is>
          <t>Interest-bearing deposits ($M)</t>
        </is>
      </c>
      <c r="C61" s="11" t="inlineStr">
        <is>
          <t>FF_DEPS_INTB(QTR,{p})</t>
        </is>
      </c>
      <c r="D61" s="12" t="inlineStr">
        <is>
          <t>Verified</t>
        </is>
      </c>
      <c r="E61" s="17">
        <f>_xlfn.IFNA(FDS(E$6,"FF_DEPS_INTB(QTR,"&amp;$C$3&amp;")"),"-")</f>
        <v/>
      </c>
      <c r="F61" s="17">
        <f>_xlfn.IFNA(FDS(F$6,"FF_DEPS_INTB(QTR,"&amp;$C$3&amp;")"),"-")</f>
        <v/>
      </c>
      <c r="G61" s="17">
        <f>_xlfn.IFNA(FDS(G$6,"FF_DEPS_INTB(QTR,"&amp;$C$3&amp;")"),"-")</f>
        <v/>
      </c>
      <c r="H61" s="17">
        <f>_xlfn.IFNA(FDS(H$6,"FF_DEPS_INTB(QTR,"&amp;$C$3&amp;")"),"-")</f>
        <v/>
      </c>
      <c r="I61" s="17">
        <f>_xlfn.IFNA(FDS(I$6,"FF_DEPS_INTB(QTR,"&amp;$C$3&amp;")"),"-")</f>
        <v/>
      </c>
    </row>
    <row r="62">
      <c r="A62" s="6" t="inlineStr"/>
      <c r="B62" s="2" t="inlineStr">
        <is>
          <t>Non-interest-bearing deposits ($M)</t>
        </is>
      </c>
      <c r="C62" s="11" t="inlineStr">
        <is>
          <t>FF_DEPS_NINTB(QTR,{p})</t>
        </is>
      </c>
      <c r="D62" s="12" t="inlineStr">
        <is>
          <t>Verified</t>
        </is>
      </c>
      <c r="E62" s="17">
        <f>_xlfn.IFNA(FDS(E$6,"FF_DEPS_NINTB(QTR,"&amp;$C$3&amp;")"),"-")</f>
        <v/>
      </c>
      <c r="F62" s="17">
        <f>_xlfn.IFNA(FDS(F$6,"FF_DEPS_NINTB(QTR,"&amp;$C$3&amp;")"),"-")</f>
        <v/>
      </c>
      <c r="G62" s="17">
        <f>_xlfn.IFNA(FDS(G$6,"FF_DEPS_NINTB(QTR,"&amp;$C$3&amp;")"),"-")</f>
        <v/>
      </c>
      <c r="H62" s="17">
        <f>_xlfn.IFNA(FDS(H$6,"FF_DEPS_NINTB(QTR,"&amp;$C$3&amp;")"),"-")</f>
        <v/>
      </c>
      <c r="I62" s="17">
        <f>_xlfn.IFNA(FDS(I$6,"FF_DEPS_NINTB(QTR,"&amp;$C$3&amp;")"),"-")</f>
        <v/>
      </c>
    </row>
    <row r="63">
      <c r="A63" s="6" t="inlineStr"/>
      <c r="B63" s="2" t="inlineStr">
        <is>
          <t>Loans / deposits (%)</t>
        </is>
      </c>
      <c r="C63" s="11" t="inlineStr">
        <is>
          <t>cell math: loans / deposits x100</t>
        </is>
      </c>
      <c r="D63" s="6" t="inlineStr">
        <is>
          <t>Cell math</t>
        </is>
      </c>
      <c r="E63" s="18">
        <f>IFERROR((E59/E60)*100,"-")</f>
        <v/>
      </c>
      <c r="F63" s="18">
        <f>IFERROR((F59/F60)*100,"-")</f>
        <v/>
      </c>
      <c r="G63" s="18">
        <f>IFERROR((G59/G60)*100,"-")</f>
        <v/>
      </c>
      <c r="H63" s="18">
        <f>IFERROR((H59/H60)*100,"-")</f>
        <v/>
      </c>
      <c r="I63" s="18">
        <f>IFERROR((I59/I60)*100,"-")</f>
        <v/>
      </c>
    </row>
    <row r="64">
      <c r="A64" s="6" t="inlineStr"/>
      <c r="B64" s="2" t="inlineStr">
        <is>
          <t>Tangible common equity ($M)</t>
        </is>
      </c>
      <c r="C64" s="11" t="inlineStr">
        <is>
          <t>FF_COM_EQ_TANG(QTR,{p})</t>
        </is>
      </c>
      <c r="D64" s="12" t="inlineStr">
        <is>
          <t>Verified</t>
        </is>
      </c>
      <c r="E64" s="17">
        <f>_xlfn.IFNA(FDS(E$6,"FF_COM_EQ_TANG(QTR,"&amp;$C$3&amp;")"),"-")</f>
        <v/>
      </c>
      <c r="F64" s="17">
        <f>_xlfn.IFNA(FDS(F$6,"FF_COM_EQ_TANG(QTR,"&amp;$C$3&amp;")"),"-")</f>
        <v/>
      </c>
      <c r="G64" s="17">
        <f>_xlfn.IFNA(FDS(G$6,"FF_COM_EQ_TANG(QTR,"&amp;$C$3&amp;")"),"-")</f>
        <v/>
      </c>
      <c r="H64" s="17">
        <f>_xlfn.IFNA(FDS(H$6,"FF_COM_EQ_TANG(QTR,"&amp;$C$3&amp;")"),"-")</f>
        <v/>
      </c>
      <c r="I64" s="17">
        <f>_xlfn.IFNA(FDS(I$6,"FF_COM_EQ_TANG(QTR,"&amp;$C$3&amp;")"),"-")</f>
        <v/>
      </c>
    </row>
    <row r="65">
      <c r="A65" s="6" t="inlineStr"/>
      <c r="B65" s="2" t="inlineStr">
        <is>
          <t>Avg tangible common equity ($M)</t>
        </is>
      </c>
      <c r="C65" s="11" t="inlineStr">
        <is>
          <t>FF_BK_SUPPL_AVG(QTR_TCE,{p})</t>
        </is>
      </c>
      <c r="D65" s="12" t="inlineStr">
        <is>
          <t>Verified</t>
        </is>
      </c>
      <c r="E65" s="17">
        <f>_xlfn.IFNA(FDS(E$6,"FF_BK_SUPPL_AVG(QTR_TCE,"&amp;$C$3&amp;")"),"-")</f>
        <v/>
      </c>
      <c r="F65" s="17">
        <f>_xlfn.IFNA(FDS(F$6,"FF_BK_SUPPL_AVG(QTR_TCE,"&amp;$C$3&amp;")"),"-")</f>
        <v/>
      </c>
      <c r="G65" s="17">
        <f>_xlfn.IFNA(FDS(G$6,"FF_BK_SUPPL_AVG(QTR_TCE,"&amp;$C$3&amp;")"),"-")</f>
        <v/>
      </c>
      <c r="H65" s="17">
        <f>_xlfn.IFNA(FDS(H$6,"FF_BK_SUPPL_AVG(QTR_TCE,"&amp;$C$3&amp;")"),"-")</f>
        <v/>
      </c>
      <c r="I65" s="17">
        <f>_xlfn.IFNA(FDS(I$6,"FF_BK_SUPPL_AVG(QTR_TCE,"&amp;$C$3&amp;")"),"-")</f>
        <v/>
      </c>
    </row>
    <row r="66">
      <c r="A66" s="6" t="inlineStr"/>
      <c r="B66" s="2" t="inlineStr">
        <is>
          <t>TBVPS ($)</t>
        </is>
      </c>
      <c r="C66" s="11" t="inlineStr">
        <is>
          <t>FF_BPS_TANG(QTR,{p})</t>
        </is>
      </c>
      <c r="D66" s="12" t="inlineStr">
        <is>
          <t>Verified</t>
        </is>
      </c>
      <c r="E66" s="19">
        <f>_xlfn.IFNA(FDS(E$6,"FF_BPS_TANG(QTR,"&amp;$C$3&amp;")"),"-")</f>
        <v/>
      </c>
      <c r="F66" s="19">
        <f>_xlfn.IFNA(FDS(F$6,"FF_BPS_TANG(QTR,"&amp;$C$3&amp;")"),"-")</f>
        <v/>
      </c>
      <c r="G66" s="19">
        <f>_xlfn.IFNA(FDS(G$6,"FF_BPS_TANG(QTR,"&amp;$C$3&amp;")"),"-")</f>
        <v/>
      </c>
      <c r="H66" s="19">
        <f>_xlfn.IFNA(FDS(H$6,"FF_BPS_TANG(QTR,"&amp;$C$3&amp;")"),"-")</f>
        <v/>
      </c>
      <c r="I66" s="19">
        <f>_xlfn.IFNA(FDS(I$6,"FF_BPS_TANG(QTR,"&amp;$C$3&amp;")"),"-")</f>
        <v/>
      </c>
    </row>
    <row r="67">
      <c r="A67" s="14" t="inlineStr">
        <is>
          <t>Credit</t>
        </is>
      </c>
      <c r="B67" s="14" t="n"/>
      <c r="C67" s="14" t="n"/>
      <c r="D67" s="14" t="n"/>
      <c r="E67" s="14" t="n"/>
      <c r="F67" s="14" t="n"/>
      <c r="G67" s="14" t="n"/>
      <c r="H67" s="14" t="n"/>
      <c r="I67" s="14" t="n"/>
    </row>
    <row r="68">
      <c r="A68" s="6" t="inlineStr"/>
      <c r="B68" s="2" t="inlineStr">
        <is>
          <t>NCO ratio (%, annualized)</t>
        </is>
      </c>
      <c r="C68" s="11" t="inlineStr">
        <is>
          <t>FF_CHARGE_OFFS_LOANS_PCT(QTR_R,{p})  x4   (quarterly rate, x4)</t>
        </is>
      </c>
      <c r="D68" s="12" t="inlineStr">
        <is>
          <t>Verified</t>
        </is>
      </c>
      <c r="E68" s="18">
        <f>_xlfn.IFNA(FDS(E$6,"FF_CHARGE_OFFS_LOANS_PCT(QTR_R,"&amp;$C$3&amp;")")*4,"-")</f>
        <v/>
      </c>
      <c r="F68" s="18">
        <f>_xlfn.IFNA(FDS(F$6,"FF_CHARGE_OFFS_LOANS_PCT(QTR_R,"&amp;$C$3&amp;")")*4,"-")</f>
        <v/>
      </c>
      <c r="G68" s="18">
        <f>_xlfn.IFNA(FDS(G$6,"FF_CHARGE_OFFS_LOANS_PCT(QTR_R,"&amp;$C$3&amp;")")*4,"-")</f>
        <v/>
      </c>
      <c r="H68" s="18">
        <f>_xlfn.IFNA(FDS(H$6,"FF_CHARGE_OFFS_LOANS_PCT(QTR_R,"&amp;$C$3&amp;")")*4,"-")</f>
        <v/>
      </c>
      <c r="I68" s="18">
        <f>_xlfn.IFNA(FDS(I$6,"FF_CHARGE_OFFS_LOANS_PCT(QTR_R,"&amp;$C$3&amp;")")*4,"-")</f>
        <v/>
      </c>
    </row>
    <row r="69">
      <c r="A69" s="6" t="inlineStr"/>
      <c r="B69" s="2" t="inlineStr">
        <is>
          <t>NPL ratio (%)</t>
        </is>
      </c>
      <c r="C69" s="11" t="inlineStr">
        <is>
          <t>FF_NONPERF_LOAN_PCT(QTR_R,{p})</t>
        </is>
      </c>
      <c r="D69" s="12" t="inlineStr">
        <is>
          <t>Verified</t>
        </is>
      </c>
      <c r="E69" s="18">
        <f>_xlfn.IFNA(FDS(E$6,"FF_NONPERF_LOAN_PCT(QTR_R,"&amp;$C$3&amp;")"),"-")</f>
        <v/>
      </c>
      <c r="F69" s="18">
        <f>_xlfn.IFNA(FDS(F$6,"FF_NONPERF_LOAN_PCT(QTR_R,"&amp;$C$3&amp;")"),"-")</f>
        <v/>
      </c>
      <c r="G69" s="18">
        <f>_xlfn.IFNA(FDS(G$6,"FF_NONPERF_LOAN_PCT(QTR_R,"&amp;$C$3&amp;")"),"-")</f>
        <v/>
      </c>
      <c r="H69" s="18">
        <f>_xlfn.IFNA(FDS(H$6,"FF_NONPERF_LOAN_PCT(QTR_R,"&amp;$C$3&amp;")"),"-")</f>
        <v/>
      </c>
      <c r="I69" s="18">
        <f>_xlfn.IFNA(FDS(I$6,"FF_NONPERF_LOAN_PCT(QTR_R,"&amp;$C$3&amp;")"),"-")</f>
        <v/>
      </c>
    </row>
    <row r="70">
      <c r="A70" s="6" t="inlineStr"/>
      <c r="B70" s="2" t="inlineStr">
        <is>
          <t>NPA / assets (%)</t>
        </is>
      </c>
      <c r="C70" s="11" t="inlineStr">
        <is>
          <t>FF_NPA_ASSETS_PCT(QTR,{p})</t>
        </is>
      </c>
      <c r="D70" s="12" t="inlineStr">
        <is>
          <t>Verified</t>
        </is>
      </c>
      <c r="E70" s="18">
        <f>_xlfn.IFNA(FDS(E$6,"FF_NPA_ASSETS_PCT(QTR,"&amp;$C$3&amp;")"),"-")</f>
        <v/>
      </c>
      <c r="F70" s="18">
        <f>_xlfn.IFNA(FDS(F$6,"FF_NPA_ASSETS_PCT(QTR,"&amp;$C$3&amp;")"),"-")</f>
        <v/>
      </c>
      <c r="G70" s="18">
        <f>_xlfn.IFNA(FDS(G$6,"FF_NPA_ASSETS_PCT(QTR,"&amp;$C$3&amp;")"),"-")</f>
        <v/>
      </c>
      <c r="H70" s="18">
        <f>_xlfn.IFNA(FDS(H$6,"FF_NPA_ASSETS_PCT(QTR,"&amp;$C$3&amp;")"),"-")</f>
        <v/>
      </c>
      <c r="I70" s="18">
        <f>_xlfn.IFNA(FDS(I$6,"FF_NPA_ASSETS_PCT(QTR,"&amp;$C$3&amp;")"),"-")</f>
        <v/>
      </c>
    </row>
    <row r="71">
      <c r="A71" s="14" t="inlineStr">
        <is>
          <t>Capital</t>
        </is>
      </c>
      <c r="B71" s="14" t="n"/>
      <c r="C71" s="14" t="n"/>
      <c r="D71" s="14" t="n"/>
      <c r="E71" s="14" t="n"/>
      <c r="F71" s="14" t="n"/>
      <c r="G71" s="14" t="n"/>
      <c r="H71" s="14" t="n"/>
      <c r="I71" s="14" t="n"/>
    </row>
    <row r="72">
      <c r="A72" s="6" t="inlineStr"/>
      <c r="B72" s="2" t="inlineStr">
        <is>
          <t>CET1 ratio (%)</t>
        </is>
      </c>
      <c r="C72" s="11" t="inlineStr">
        <is>
          <t>FF_BK_COM_EQ_TIER1_RATIO(QTR,{p})</t>
        </is>
      </c>
      <c r="D72" s="12" t="inlineStr">
        <is>
          <t>Verified</t>
        </is>
      </c>
      <c r="E72" s="18">
        <f>_xlfn.IFNA(FDS(E$6,"FF_BK_COM_EQ_TIER1_RATIO(QTR,"&amp;$C$3&amp;")"),"-")</f>
        <v/>
      </c>
      <c r="F72" s="18">
        <f>_xlfn.IFNA(FDS(F$6,"FF_BK_COM_EQ_TIER1_RATIO(QTR,"&amp;$C$3&amp;")"),"-")</f>
        <v/>
      </c>
      <c r="G72" s="18">
        <f>_xlfn.IFNA(FDS(G$6,"FF_BK_COM_EQ_TIER1_RATIO(QTR,"&amp;$C$3&amp;")"),"-")</f>
        <v/>
      </c>
      <c r="H72" s="18">
        <f>_xlfn.IFNA(FDS(H$6,"FF_BK_COM_EQ_TIER1_RATIO(QTR,"&amp;$C$3&amp;")"),"-")</f>
        <v/>
      </c>
      <c r="I72" s="18">
        <f>_xlfn.IFNA(FDS(I$6,"FF_BK_COM_EQ_TIER1_RATIO(QTR,"&amp;$C$3&amp;")"),"-")</f>
        <v/>
      </c>
    </row>
    <row r="73">
      <c r="A73" s="6" t="inlineStr"/>
      <c r="B73" s="2" t="inlineStr">
        <is>
          <t>Risk-weighted assets ($M)</t>
        </is>
      </c>
      <c r="C73" s="11" t="inlineStr">
        <is>
          <t>FF_ASSETS_RISK_WGHT(QTR,{p})</t>
        </is>
      </c>
      <c r="D73" s="12" t="inlineStr">
        <is>
          <t>Verified</t>
        </is>
      </c>
      <c r="E73" s="17">
        <f>_xlfn.IFNA(FDS(E$6,"FF_ASSETS_RISK_WGHT(QTR,"&amp;$C$3&amp;")"),"-")</f>
        <v/>
      </c>
      <c r="F73" s="17">
        <f>_xlfn.IFNA(FDS(F$6,"FF_ASSETS_RISK_WGHT(QTR,"&amp;$C$3&amp;")"),"-")</f>
        <v/>
      </c>
      <c r="G73" s="17">
        <f>_xlfn.IFNA(FDS(G$6,"FF_ASSETS_RISK_WGHT(QTR,"&amp;$C$3&amp;")"),"-")</f>
        <v/>
      </c>
      <c r="H73" s="17">
        <f>_xlfn.IFNA(FDS(H$6,"FF_ASSETS_RISK_WGHT(QTR,"&amp;$C$3&amp;")"),"-")</f>
        <v/>
      </c>
      <c r="I73" s="17">
        <f>_xlfn.IFNA(FDS(I$6,"FF_ASSETS_RISK_WGHT(QTR,"&amp;$C$3&amp;")"),"-")</f>
        <v/>
      </c>
    </row>
    <row r="74">
      <c r="A74" s="14" t="inlineStr">
        <is>
          <t>Franchise</t>
        </is>
      </c>
      <c r="B74" s="14" t="n"/>
      <c r="C74" s="14" t="n"/>
      <c r="D74" s="14" t="n"/>
      <c r="E74" s="14" t="n"/>
      <c r="F74" s="14" t="n"/>
      <c r="G74" s="14" t="n"/>
      <c r="H74" s="14" t="n"/>
      <c r="I74" s="14" t="n"/>
    </row>
    <row r="75">
      <c r="A75" s="6" t="inlineStr"/>
      <c r="B75" s="2" t="inlineStr">
        <is>
          <t>Branch count</t>
        </is>
      </c>
      <c r="C75" s="11" t="inlineStr">
        <is>
          <t>FB_DOM_OFFCE_NUM(QTR,{p})</t>
        </is>
      </c>
      <c r="D75" s="12" t="inlineStr">
        <is>
          <t>Verified</t>
        </is>
      </c>
      <c r="E75" s="21">
        <f>_xlfn.IFNA(FDS(E$6,"FB_DOM_OFFCE_NUM(QTR,"&amp;$C$3&amp;")"),"-")</f>
        <v/>
      </c>
      <c r="F75" s="21">
        <f>_xlfn.IFNA(FDS(F$6,"FB_DOM_OFFCE_NUM(QTR,"&amp;$C$3&amp;")"),"-")</f>
        <v/>
      </c>
      <c r="G75" s="21">
        <f>_xlfn.IFNA(FDS(G$6,"FB_DOM_OFFCE_NUM(QTR,"&amp;$C$3&amp;")"),"-")</f>
        <v/>
      </c>
      <c r="H75" s="21">
        <f>_xlfn.IFNA(FDS(H$6,"FB_DOM_OFFCE_NUM(QTR,"&amp;$C$3&amp;")"),"-")</f>
        <v/>
      </c>
      <c r="I75" s="21">
        <f>_xlfn.IFNA(FDS(I$6,"FB_DOM_OFFCE_NUM(QTR,"&amp;$C$3&amp;")"),"-")</f>
        <v/>
      </c>
    </row>
    <row r="76">
      <c r="A76" s="14" t="inlineStr">
        <is>
          <t>Consensus (history)</t>
        </is>
      </c>
      <c r="B76" s="14" t="n"/>
      <c r="C76" s="14" t="n"/>
      <c r="D76" s="14" t="n"/>
      <c r="E76" s="14" t="n"/>
      <c r="F76" s="14" t="n"/>
      <c r="G76" s="14" t="n"/>
      <c r="H76" s="14" t="n"/>
      <c r="I76" s="14" t="n"/>
    </row>
    <row r="77">
      <c r="A77" s="6" t="inlineStr"/>
      <c r="B77" s="2" t="inlineStr">
        <is>
          <t>Consensus EPS - quarter ($)</t>
        </is>
      </c>
      <c r="C77" s="11" t="inlineStr">
        <is>
          <t>FE_ESTIMATE(EPS_NONGAAP,MEAN,QTR,{p},0,,,'')</t>
        </is>
      </c>
      <c r="D77" s="12" t="inlineStr">
        <is>
          <t>Verified</t>
        </is>
      </c>
      <c r="E77" s="19">
        <f>_xlfn.IFNA(FDS(E$6,"FE_ESTIMATE(EPS_NONGAAP,MEAN,QTR,"&amp;$C$3&amp;",0,,,'')"),"-")</f>
        <v/>
      </c>
      <c r="F77" s="19">
        <f>_xlfn.IFNA(FDS(F$6,"FE_ESTIMATE(EPS_NONGAAP,MEAN,QTR,"&amp;$C$3&amp;",0,,,'')"),"-")</f>
        <v/>
      </c>
      <c r="G77" s="19">
        <f>_xlfn.IFNA(FDS(G$6,"FE_ESTIMATE(EPS_NONGAAP,MEAN,QTR,"&amp;$C$3&amp;",0,,,'')"),"-")</f>
        <v/>
      </c>
      <c r="H77" s="19">
        <f>_xlfn.IFNA(FDS(H$6,"FE_ESTIMATE(EPS_NONGAAP,MEAN,QTR,"&amp;$C$3&amp;",0,,,'')"),"-")</f>
        <v/>
      </c>
      <c r="I77" s="19">
        <f>_xlfn.IFNA(FDS(I$6,"FE_ESTIMATE(EPS_NONGAAP,MEAN,QTR,"&amp;$C$3&amp;",0,,,'')"),"-")</f>
        <v/>
      </c>
    </row>
    <row r="78">
      <c r="A78" s="6" t="inlineStr"/>
      <c r="B78" s="2" t="inlineStr">
        <is>
          <t>Consensus revenue - quarter ($M)</t>
        </is>
      </c>
      <c r="C78" s="11" t="inlineStr">
        <is>
          <t>FE_ESTIMATE(SALES,MEAN,QTR_ROLL,{p},0,,,'')</t>
        </is>
      </c>
      <c r="D78" s="12" t="inlineStr">
        <is>
          <t>Verified</t>
        </is>
      </c>
      <c r="E78" s="17">
        <f>_xlfn.IFNA(FDS(E$6,"FE_ESTIMATE(SALES,MEAN,QTR_ROLL,"&amp;$C$3&amp;",0,,,'')"),"-")</f>
        <v/>
      </c>
      <c r="F78" s="17">
        <f>_xlfn.IFNA(FDS(F$6,"FE_ESTIMATE(SALES,MEAN,QTR_ROLL,"&amp;$C$3&amp;",0,,,'')"),"-")</f>
        <v/>
      </c>
      <c r="G78" s="17">
        <f>_xlfn.IFNA(FDS(G$6,"FE_ESTIMATE(SALES,MEAN,QTR_ROLL,"&amp;$C$3&amp;",0,,,'')"),"-")</f>
        <v/>
      </c>
      <c r="H78" s="17">
        <f>_xlfn.IFNA(FDS(H$6,"FE_ESTIMATE(SALES,MEAN,QTR_ROLL,"&amp;$C$3&amp;",0,,,'')"),"-")</f>
        <v/>
      </c>
      <c r="I78" s="17">
        <f>_xlfn.IFNA(FDS(I$6,"FE_ESTIMATE(SALES,MEAN,QTR_ROLL,"&amp;$C$3&amp;",0,,,'')"),"-")</f>
        <v/>
      </c>
    </row>
    <row r="79">
      <c r="A79" s="6" t="inlineStr"/>
      <c r="B79" s="2" t="inlineStr">
        <is>
          <t>Consensus NII - quarter ($M)</t>
        </is>
      </c>
      <c r="C79" s="11" t="inlineStr">
        <is>
          <t>FE_ESTIMATE(INT_INC_NET,MEAN,QTR,{p})</t>
        </is>
      </c>
      <c r="D79" s="12" t="inlineStr">
        <is>
          <t>Verified</t>
        </is>
      </c>
      <c r="E79" s="17">
        <f>_xlfn.IFNA(FDS(E$6,"FE_ESTIMATE(INT_INC_NET,MEAN,QTR,"&amp;$C$3&amp;")"),"-")</f>
        <v/>
      </c>
      <c r="F79" s="17">
        <f>_xlfn.IFNA(FDS(F$6,"FE_ESTIMATE(INT_INC_NET,MEAN,QTR,"&amp;$C$3&amp;")"),"-")</f>
        <v/>
      </c>
      <c r="G79" s="17">
        <f>_xlfn.IFNA(FDS(G$6,"FE_ESTIMATE(INT_INC_NET,MEAN,QTR,"&amp;$C$3&amp;")"),"-")</f>
        <v/>
      </c>
      <c r="H79" s="17">
        <f>_xlfn.IFNA(FDS(H$6,"FE_ESTIMATE(INT_INC_NET,MEAN,QTR,"&amp;$C$3&amp;")"),"-")</f>
        <v/>
      </c>
      <c r="I79" s="17">
        <f>_xlfn.IFNA(FDS(I$6,"FE_ESTIMATE(INT_INC_NET,MEAN,QTR,"&amp;$C$3&amp;")"),"-")</f>
        <v/>
      </c>
    </row>
    <row r="80">
      <c r="A80" s="6" t="inlineStr"/>
      <c r="B80" s="2" t="inlineStr">
        <is>
          <t>Consensus fee income - quarter ($M)</t>
        </is>
      </c>
      <c r="C80" s="11" t="inlineStr">
        <is>
          <t>FE_ESTIMATE(INCFEESCOM,MEAN,QTR_ROLL,{p},0,,,'')</t>
        </is>
      </c>
      <c r="D80" s="12" t="inlineStr">
        <is>
          <t>Verified</t>
        </is>
      </c>
      <c r="E80" s="17">
        <f>_xlfn.IFNA(FDS(E$6,"FE_ESTIMATE(INCFEESCOM,MEAN,QTR_ROLL,"&amp;$C$3&amp;",0,,,'')"),"-")</f>
        <v/>
      </c>
      <c r="F80" s="17">
        <f>_xlfn.IFNA(FDS(F$6,"FE_ESTIMATE(INCFEESCOM,MEAN,QTR_ROLL,"&amp;$C$3&amp;",0,,,'')"),"-")</f>
        <v/>
      </c>
      <c r="G80" s="17">
        <f>_xlfn.IFNA(FDS(G$6,"FE_ESTIMATE(INCFEESCOM,MEAN,QTR_ROLL,"&amp;$C$3&amp;",0,,,'')"),"-")</f>
        <v/>
      </c>
      <c r="H80" s="17">
        <f>_xlfn.IFNA(FDS(H$6,"FE_ESTIMATE(INCFEESCOM,MEAN,QTR_ROLL,"&amp;$C$3&amp;",0,,,'')"),"-")</f>
        <v/>
      </c>
      <c r="I80" s="17">
        <f>_xlfn.IFNA(FDS(I$6,"FE_ESTIMATE(INCFEESCOM,MEAN,QTR_ROLL,"&amp;$C$3&amp;",0,,,'')"),"-")</f>
        <v/>
      </c>
    </row>
    <row r="81">
      <c r="A81" s="6" t="inlineStr"/>
      <c r="B81" s="2" t="inlineStr">
        <is>
          <t>Consensus ROTCE - quarter (%)</t>
        </is>
      </c>
      <c r="C81" s="11" t="inlineStr">
        <is>
          <t>FE_ESTIMATE(ROTE,MEAN,QTR_ROLL,{p},0,,,'')</t>
        </is>
      </c>
      <c r="D81" s="12" t="inlineStr">
        <is>
          <t>Verified</t>
        </is>
      </c>
      <c r="E81" s="18">
        <f>_xlfn.IFNA(FDS(E$6,"FE_ESTIMATE(ROTE,MEAN,QTR_ROLL,"&amp;$C$3&amp;",0,,,'')"),"-")</f>
        <v/>
      </c>
      <c r="F81" s="18">
        <f>_xlfn.IFNA(FDS(F$6,"FE_ESTIMATE(ROTE,MEAN,QTR_ROLL,"&amp;$C$3&amp;",0,,,'')"),"-")</f>
        <v/>
      </c>
      <c r="G81" s="18">
        <f>_xlfn.IFNA(FDS(G$6,"FE_ESTIMATE(ROTE,MEAN,QTR_ROLL,"&amp;$C$3&amp;",0,,,'')"),"-")</f>
        <v/>
      </c>
      <c r="H81" s="18">
        <f>_xlfn.IFNA(FDS(H$6,"FE_ESTIMATE(ROTE,MEAN,QTR_ROLL,"&amp;$C$3&amp;",0,,,'')"),"-")</f>
        <v/>
      </c>
      <c r="I81" s="18">
        <f>_xlfn.IFNA(FDS(I$6,"FE_ESTIMATE(ROTE,MEAN,QTR_ROLL,"&amp;$C$3&amp;",0,,,'')"),"-")</f>
        <v/>
      </c>
    </row>
    <row r="82">
      <c r="A82" s="6" t="inlineStr"/>
      <c r="B82" s="2" t="inlineStr">
        <is>
          <t>Consensus CET1 capital - quarter ($M)</t>
        </is>
      </c>
      <c r="C82" s="11" t="inlineStr">
        <is>
          <t>FE_ESTIMATE(COM_EQUITY_TIER1,MEAN,QTR,{p},,,,'')</t>
        </is>
      </c>
      <c r="D82" s="12" t="inlineStr">
        <is>
          <t>Verified</t>
        </is>
      </c>
      <c r="E82" s="17">
        <f>_xlfn.IFNA(FDS(E$6,"FE_ESTIMATE(COM_EQUITY_TIER1,MEAN,QTR,"&amp;$C$3&amp;",,,,'')"),"-")</f>
        <v/>
      </c>
      <c r="F82" s="17">
        <f>_xlfn.IFNA(FDS(F$6,"FE_ESTIMATE(COM_EQUITY_TIER1,MEAN,QTR,"&amp;$C$3&amp;",,,,'')"),"-")</f>
        <v/>
      </c>
      <c r="G82" s="17">
        <f>_xlfn.IFNA(FDS(G$6,"FE_ESTIMATE(COM_EQUITY_TIER1,MEAN,QTR,"&amp;$C$3&amp;",,,,'')"),"-")</f>
        <v/>
      </c>
      <c r="H82" s="17">
        <f>_xlfn.IFNA(FDS(H$6,"FE_ESTIMATE(COM_EQUITY_TIER1,MEAN,QTR,"&amp;$C$3&amp;",,,,'')"),"-")</f>
        <v/>
      </c>
      <c r="I82" s="17">
        <f>_xlfn.IFNA(FDS(I$6,"FE_ESTIMATE(COM_EQUITY_TIER1,MEAN,QTR,"&amp;$C$3&amp;",,,,'')"),"-")</f>
        <v/>
      </c>
    </row>
  </sheetData>
  <conditionalFormatting sqref="E8:I83">
    <cfRule type="expression" priority="1" dxfId="0">
      <formula>IFERROR(E8="-",ISNA(E8))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2"/>
  <sheetViews>
    <sheetView topLeftCell="A1" zoomScale="9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4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Quarterly code test - HBAN, 8 quarters</t>
        </is>
      </c>
    </row>
    <row r="2">
      <c r="A2" s="6" t="inlineStr">
        <is>
          <t>$ in millions (USD), per-share in $, % as whole numbers. Blue cells are inputs: ticker in C3, quarters in row 5 (row 6 = prior quarter, used for TSR).</t>
        </is>
      </c>
    </row>
    <row r="3">
      <c r="B3" s="7" t="inlineStr">
        <is>
          <t>Ticker</t>
        </is>
      </c>
      <c r="C3" s="22" t="inlineStr">
        <is>
          <t>HBAN</t>
        </is>
      </c>
    </row>
    <row r="5">
      <c r="A5" s="9" t="inlineStr">
        <is>
          <t>Category</t>
        </is>
      </c>
      <c r="B5" s="9" t="inlineStr">
        <is>
          <t>Metric</t>
        </is>
      </c>
      <c r="C5" s="9" t="inlineStr">
        <is>
          <t>FactSet code</t>
        </is>
      </c>
      <c r="D5" s="9" t="inlineStr">
        <is>
          <t>Catalog status</t>
        </is>
      </c>
      <c r="E5" s="10" t="inlineStr">
        <is>
          <t>2024/3F</t>
        </is>
      </c>
      <c r="F5" s="10" t="inlineStr">
        <is>
          <t>2024/4F</t>
        </is>
      </c>
      <c r="G5" s="10" t="inlineStr">
        <is>
          <t>2025/1F</t>
        </is>
      </c>
      <c r="H5" s="10" t="inlineStr">
        <is>
          <t>2025/2F</t>
        </is>
      </c>
      <c r="I5" s="10" t="inlineStr">
        <is>
          <t>2025/3F</t>
        </is>
      </c>
      <c r="J5" s="10" t="inlineStr">
        <is>
          <t>2025/4F</t>
        </is>
      </c>
      <c r="K5" s="10" t="inlineStr">
        <is>
          <t>2026/1F</t>
        </is>
      </c>
      <c r="L5" s="10" t="inlineStr">
        <is>
          <t>2026/2F</t>
        </is>
      </c>
    </row>
    <row r="6">
      <c r="B6" s="23" t="inlineStr">
        <is>
          <t>Prior quarter (TSR start)</t>
        </is>
      </c>
      <c r="C6" s="23" t="n"/>
      <c r="D6" s="23" t="n"/>
      <c r="E6" s="23" t="inlineStr">
        <is>
          <t>2024/2F</t>
        </is>
      </c>
      <c r="F6" s="23" t="inlineStr">
        <is>
          <t>2024/3F</t>
        </is>
      </c>
      <c r="G6" s="23" t="inlineStr">
        <is>
          <t>2024/4F</t>
        </is>
      </c>
      <c r="H6" s="23" t="inlineStr">
        <is>
          <t>2025/1F</t>
        </is>
      </c>
      <c r="I6" s="23" t="inlineStr">
        <is>
          <t>2025/2F</t>
        </is>
      </c>
      <c r="J6" s="23" t="inlineStr">
        <is>
          <t>2025/3F</t>
        </is>
      </c>
      <c r="K6" s="23" t="inlineStr">
        <is>
          <t>2025/4F</t>
        </is>
      </c>
      <c r="L6" s="23" t="inlineStr">
        <is>
          <t>2026/1F</t>
        </is>
      </c>
    </row>
    <row r="8">
      <c r="A8" s="14" t="inlineStr">
        <is>
          <t>Valuation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</row>
    <row r="9">
      <c r="A9" s="6" t="inlineStr"/>
      <c r="B9" s="2" t="inlineStr">
        <is>
          <t>P/E</t>
        </is>
      </c>
      <c r="C9" s="11" t="inlineStr">
        <is>
          <t>FF_PE(QTR,{p})</t>
        </is>
      </c>
      <c r="D9" s="12" t="inlineStr">
        <is>
          <t>Verified</t>
        </is>
      </c>
      <c r="E9" s="15">
        <f>_xlfn.IFNA(FDS($C$3,"FF_PE(QTR,"&amp;E$5&amp;")"),"-")</f>
        <v/>
      </c>
      <c r="F9" s="15">
        <f>_xlfn.IFNA(FDS($C$3,"FF_PE(QTR,"&amp;F$5&amp;")"),"-")</f>
        <v/>
      </c>
      <c r="G9" s="15">
        <f>_xlfn.IFNA(FDS($C$3,"FF_PE(QTR,"&amp;G$5&amp;")"),"-")</f>
        <v/>
      </c>
      <c r="H9" s="15">
        <f>_xlfn.IFNA(FDS($C$3,"FF_PE(QTR,"&amp;H$5&amp;")"),"-")</f>
        <v/>
      </c>
      <c r="I9" s="15">
        <f>_xlfn.IFNA(FDS($C$3,"FF_PE(QTR,"&amp;I$5&amp;")"),"-")</f>
        <v/>
      </c>
      <c r="J9" s="15">
        <f>_xlfn.IFNA(FDS($C$3,"FF_PE(QTR,"&amp;J$5&amp;")"),"-")</f>
        <v/>
      </c>
      <c r="K9" s="15">
        <f>_xlfn.IFNA(FDS($C$3,"FF_PE(QTR,"&amp;K$5&amp;")"),"-")</f>
        <v/>
      </c>
      <c r="L9" s="15">
        <f>_xlfn.IFNA(FDS($C$3,"FF_PE(QTR,"&amp;L$5&amp;")"),"-")</f>
        <v/>
      </c>
    </row>
    <row r="10">
      <c r="A10" s="6" t="inlineStr"/>
      <c r="B10" s="2" t="inlineStr">
        <is>
          <t>P/B</t>
        </is>
      </c>
      <c r="C10" s="11" t="inlineStr">
        <is>
          <t>FF_PBK(QTR,{p})</t>
        </is>
      </c>
      <c r="D10" s="12" t="inlineStr">
        <is>
          <t>Verified</t>
        </is>
      </c>
      <c r="E10" s="16">
        <f>_xlfn.IFNA(FDS($C$3,"FF_PBK(QTR,"&amp;E$5&amp;")"),"-")</f>
        <v/>
      </c>
      <c r="F10" s="16">
        <f>_xlfn.IFNA(FDS($C$3,"FF_PBK(QTR,"&amp;F$5&amp;")"),"-")</f>
        <v/>
      </c>
      <c r="G10" s="16">
        <f>_xlfn.IFNA(FDS($C$3,"FF_PBK(QTR,"&amp;G$5&amp;")"),"-")</f>
        <v/>
      </c>
      <c r="H10" s="16">
        <f>_xlfn.IFNA(FDS($C$3,"FF_PBK(QTR,"&amp;H$5&amp;")"),"-")</f>
        <v/>
      </c>
      <c r="I10" s="16">
        <f>_xlfn.IFNA(FDS($C$3,"FF_PBK(QTR,"&amp;I$5&amp;")"),"-")</f>
        <v/>
      </c>
      <c r="J10" s="16">
        <f>_xlfn.IFNA(FDS($C$3,"FF_PBK(QTR,"&amp;J$5&amp;")"),"-")</f>
        <v/>
      </c>
      <c r="K10" s="16">
        <f>_xlfn.IFNA(FDS($C$3,"FF_PBK(QTR,"&amp;K$5&amp;")"),"-")</f>
        <v/>
      </c>
      <c r="L10" s="16">
        <f>_xlfn.IFNA(FDS($C$3,"FF_PBK(QTR,"&amp;L$5&amp;")"),"-")</f>
        <v/>
      </c>
    </row>
    <row r="11">
      <c r="A11" s="6" t="inlineStr"/>
      <c r="B11" s="2" t="inlineStr">
        <is>
          <t>P/TBV</t>
        </is>
      </c>
      <c r="C11" s="11" t="inlineStr">
        <is>
          <t>FF_PBK_TANG(QTR,{p})</t>
        </is>
      </c>
      <c r="D11" s="12" t="inlineStr">
        <is>
          <t>Verified</t>
        </is>
      </c>
      <c r="E11" s="16">
        <f>_xlfn.IFNA(FDS($C$3,"FF_PBK_TANG(QTR,"&amp;E$5&amp;")"),"-")</f>
        <v/>
      </c>
      <c r="F11" s="16">
        <f>_xlfn.IFNA(FDS($C$3,"FF_PBK_TANG(QTR,"&amp;F$5&amp;")"),"-")</f>
        <v/>
      </c>
      <c r="G11" s="16">
        <f>_xlfn.IFNA(FDS($C$3,"FF_PBK_TANG(QTR,"&amp;G$5&amp;")"),"-")</f>
        <v/>
      </c>
      <c r="H11" s="16">
        <f>_xlfn.IFNA(FDS($C$3,"FF_PBK_TANG(QTR,"&amp;H$5&amp;")"),"-")</f>
        <v/>
      </c>
      <c r="I11" s="16">
        <f>_xlfn.IFNA(FDS($C$3,"FF_PBK_TANG(QTR,"&amp;I$5&amp;")"),"-")</f>
        <v/>
      </c>
      <c r="J11" s="16">
        <f>_xlfn.IFNA(FDS($C$3,"FF_PBK_TANG(QTR,"&amp;J$5&amp;")"),"-")</f>
        <v/>
      </c>
      <c r="K11" s="16">
        <f>_xlfn.IFNA(FDS($C$3,"FF_PBK_TANG(QTR,"&amp;K$5&amp;")"),"-")</f>
        <v/>
      </c>
      <c r="L11" s="16">
        <f>_xlfn.IFNA(FDS($C$3,"FF_PBK_TANG(QTR,"&amp;L$5&amp;")"),"-")</f>
        <v/>
      </c>
    </row>
    <row r="12">
      <c r="A12" s="6" t="inlineStr"/>
      <c r="B12" s="2" t="inlineStr">
        <is>
          <t>Market cap ($M)</t>
        </is>
      </c>
      <c r="C12" s="11" t="inlineStr">
        <is>
          <t>FF_MKT_VAL(QTR,{p})</t>
        </is>
      </c>
      <c r="D12" s="12" t="inlineStr">
        <is>
          <t>Verified</t>
        </is>
      </c>
      <c r="E12" s="17">
        <f>_xlfn.IFNA(FDS($C$3,"FF_MKT_VAL(QTR,"&amp;E$5&amp;")"),"-")</f>
        <v/>
      </c>
      <c r="F12" s="17">
        <f>_xlfn.IFNA(FDS($C$3,"FF_MKT_VAL(QTR,"&amp;F$5&amp;")"),"-")</f>
        <v/>
      </c>
      <c r="G12" s="17">
        <f>_xlfn.IFNA(FDS($C$3,"FF_MKT_VAL(QTR,"&amp;G$5&amp;")"),"-")</f>
        <v/>
      </c>
      <c r="H12" s="17">
        <f>_xlfn.IFNA(FDS($C$3,"FF_MKT_VAL(QTR,"&amp;H$5&amp;")"),"-")</f>
        <v/>
      </c>
      <c r="I12" s="17">
        <f>_xlfn.IFNA(FDS($C$3,"FF_MKT_VAL(QTR,"&amp;I$5&amp;")"),"-")</f>
        <v/>
      </c>
      <c r="J12" s="17">
        <f>_xlfn.IFNA(FDS($C$3,"FF_MKT_VAL(QTR,"&amp;J$5&amp;")"),"-")</f>
        <v/>
      </c>
      <c r="K12" s="17">
        <f>_xlfn.IFNA(FDS($C$3,"FF_MKT_VAL(QTR,"&amp;K$5&amp;")"),"-")</f>
        <v/>
      </c>
      <c r="L12" s="17">
        <f>_xlfn.IFNA(FDS($C$3,"FF_MKT_VAL(QTR,"&amp;L$5&amp;")"),"-")</f>
        <v/>
      </c>
    </row>
    <row r="13">
      <c r="A13" s="6" t="inlineStr"/>
      <c r="B13" s="2" t="inlineStr">
        <is>
          <t>Enterprise value ($M)</t>
        </is>
      </c>
      <c r="C13" s="11" t="inlineStr">
        <is>
          <t>FF_ENTRPR_VAL(QTR,{p})</t>
        </is>
      </c>
      <c r="D13" s="12" t="inlineStr">
        <is>
          <t>Verified</t>
        </is>
      </c>
      <c r="E13" s="17">
        <f>_xlfn.IFNA(FDS($C$3,"FF_ENTRPR_VAL(QTR,"&amp;E$5&amp;")"),"-")</f>
        <v/>
      </c>
      <c r="F13" s="17">
        <f>_xlfn.IFNA(FDS($C$3,"FF_ENTRPR_VAL(QTR,"&amp;F$5&amp;")"),"-")</f>
        <v/>
      </c>
      <c r="G13" s="17">
        <f>_xlfn.IFNA(FDS($C$3,"FF_ENTRPR_VAL(QTR,"&amp;G$5&amp;")"),"-")</f>
        <v/>
      </c>
      <c r="H13" s="17">
        <f>_xlfn.IFNA(FDS($C$3,"FF_ENTRPR_VAL(QTR,"&amp;H$5&amp;")"),"-")</f>
        <v/>
      </c>
      <c r="I13" s="17">
        <f>_xlfn.IFNA(FDS($C$3,"FF_ENTRPR_VAL(QTR,"&amp;I$5&amp;")"),"-")</f>
        <v/>
      </c>
      <c r="J13" s="17">
        <f>_xlfn.IFNA(FDS($C$3,"FF_ENTRPR_VAL(QTR,"&amp;J$5&amp;")"),"-")</f>
        <v/>
      </c>
      <c r="K13" s="17">
        <f>_xlfn.IFNA(FDS($C$3,"FF_ENTRPR_VAL(QTR,"&amp;K$5&amp;")"),"-")</f>
        <v/>
      </c>
      <c r="L13" s="17">
        <f>_xlfn.IFNA(FDS($C$3,"FF_ENTRPR_VAL(QTR,"&amp;L$5&amp;")"),"-")</f>
        <v/>
      </c>
    </row>
    <row r="14">
      <c r="A14" s="6" t="inlineStr"/>
      <c r="B14" s="2" t="inlineStr">
        <is>
          <t>Share price ($)</t>
        </is>
      </c>
      <c r="C14" s="11" t="inlineStr">
        <is>
          <t>P_PRICE({p})</t>
        </is>
      </c>
      <c r="D14" s="12" t="inlineStr">
        <is>
          <t>Verified</t>
        </is>
      </c>
      <c r="E14" s="17">
        <f>_xlfn.IFNA(FDS($C$3,"P_PRICE("&amp;E$5&amp;")"),"-")</f>
        <v/>
      </c>
      <c r="F14" s="17">
        <f>_xlfn.IFNA(FDS($C$3,"P_PRICE("&amp;F$5&amp;")"),"-")</f>
        <v/>
      </c>
      <c r="G14" s="17">
        <f>_xlfn.IFNA(FDS($C$3,"P_PRICE("&amp;G$5&amp;")"),"-")</f>
        <v/>
      </c>
      <c r="H14" s="17">
        <f>_xlfn.IFNA(FDS($C$3,"P_PRICE("&amp;H$5&amp;")"),"-")</f>
        <v/>
      </c>
      <c r="I14" s="17">
        <f>_xlfn.IFNA(FDS($C$3,"P_PRICE("&amp;I$5&amp;")"),"-")</f>
        <v/>
      </c>
      <c r="J14" s="17">
        <f>_xlfn.IFNA(FDS($C$3,"P_PRICE("&amp;J$5&amp;")"),"-")</f>
        <v/>
      </c>
      <c r="K14" s="17">
        <f>_xlfn.IFNA(FDS($C$3,"P_PRICE("&amp;K$5&amp;")"),"-")</f>
        <v/>
      </c>
      <c r="L14" s="17">
        <f>_xlfn.IFNA(FDS($C$3,"P_PRICE("&amp;L$5&amp;")"),"-")</f>
        <v/>
      </c>
    </row>
    <row r="15">
      <c r="A15" s="14" t="inlineStr">
        <is>
          <t>Shareholder returns</t>
        </is>
      </c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</row>
    <row r="16">
      <c r="A16" s="6" t="inlineStr"/>
      <c r="B16" s="2" t="inlineStr">
        <is>
          <t>TSR - quarter (%)</t>
        </is>
      </c>
      <c r="C16" s="11" t="inlineStr">
        <is>
          <t>P_PRICE_RETURNS(2,{q},{p})   (whole %; prior quarter -&gt; this quarter)</t>
        </is>
      </c>
      <c r="D16" s="12" t="inlineStr">
        <is>
          <t>Verified</t>
        </is>
      </c>
      <c r="E16" s="18">
        <f>_xlfn.IFNA(FDS($C$3,"P_PRICE_RETURNS(2,"&amp;E$6&amp;","&amp;E$5&amp;")"),"-")</f>
        <v/>
      </c>
      <c r="F16" s="18">
        <f>_xlfn.IFNA(FDS($C$3,"P_PRICE_RETURNS(2,"&amp;F$6&amp;","&amp;F$5&amp;")"),"-")</f>
        <v/>
      </c>
      <c r="G16" s="18">
        <f>_xlfn.IFNA(FDS($C$3,"P_PRICE_RETURNS(2,"&amp;G$6&amp;","&amp;G$5&amp;")"),"-")</f>
        <v/>
      </c>
      <c r="H16" s="18">
        <f>_xlfn.IFNA(FDS($C$3,"P_PRICE_RETURNS(2,"&amp;H$6&amp;","&amp;H$5&amp;")"),"-")</f>
        <v/>
      </c>
      <c r="I16" s="18">
        <f>_xlfn.IFNA(FDS($C$3,"P_PRICE_RETURNS(2,"&amp;I$6&amp;","&amp;I$5&amp;")"),"-")</f>
        <v/>
      </c>
      <c r="J16" s="18">
        <f>_xlfn.IFNA(FDS($C$3,"P_PRICE_RETURNS(2,"&amp;J$6&amp;","&amp;J$5&amp;")"),"-")</f>
        <v/>
      </c>
      <c r="K16" s="18">
        <f>_xlfn.IFNA(FDS($C$3,"P_PRICE_RETURNS(2,"&amp;K$6&amp;","&amp;K$5&amp;")"),"-")</f>
        <v/>
      </c>
      <c r="L16" s="18">
        <f>_xlfn.IFNA(FDS($C$3,"P_PRICE_RETURNS(2,"&amp;L$6&amp;","&amp;L$5&amp;")"),"-")</f>
        <v/>
      </c>
    </row>
    <row r="17">
      <c r="A17" s="6" t="inlineStr"/>
      <c r="B17" s="2" t="inlineStr">
        <is>
          <t>Dividend yield (%)</t>
        </is>
      </c>
      <c r="C17" s="11" t="inlineStr">
        <is>
          <t>FF_DIV_YLD(QTR,{p})</t>
        </is>
      </c>
      <c r="D17" s="12" t="inlineStr">
        <is>
          <t>Verified</t>
        </is>
      </c>
      <c r="E17" s="18">
        <f>_xlfn.IFNA(FDS($C$3,"FF_DIV_YLD(QTR,"&amp;E$5&amp;")"),"-")</f>
        <v/>
      </c>
      <c r="F17" s="18">
        <f>_xlfn.IFNA(FDS($C$3,"FF_DIV_YLD(QTR,"&amp;F$5&amp;")"),"-")</f>
        <v/>
      </c>
      <c r="G17" s="18">
        <f>_xlfn.IFNA(FDS($C$3,"FF_DIV_YLD(QTR,"&amp;G$5&amp;")"),"-")</f>
        <v/>
      </c>
      <c r="H17" s="18">
        <f>_xlfn.IFNA(FDS($C$3,"FF_DIV_YLD(QTR,"&amp;H$5&amp;")"),"-")</f>
        <v/>
      </c>
      <c r="I17" s="18">
        <f>_xlfn.IFNA(FDS($C$3,"FF_DIV_YLD(QTR,"&amp;I$5&amp;")"),"-")</f>
        <v/>
      </c>
      <c r="J17" s="18">
        <f>_xlfn.IFNA(FDS($C$3,"FF_DIV_YLD(QTR,"&amp;J$5&amp;")"),"-")</f>
        <v/>
      </c>
      <c r="K17" s="18">
        <f>_xlfn.IFNA(FDS($C$3,"FF_DIV_YLD(QTR,"&amp;K$5&amp;")"),"-")</f>
        <v/>
      </c>
      <c r="L17" s="18">
        <f>_xlfn.IFNA(FDS($C$3,"FF_DIV_YLD(QTR,"&amp;L$5&amp;")"),"-")</f>
        <v/>
      </c>
    </row>
    <row r="18">
      <c r="A18" s="6" t="inlineStr"/>
      <c r="B18" s="2" t="inlineStr">
        <is>
          <t>Payout ratio (%)</t>
        </is>
      </c>
      <c r="C18" s="11" t="inlineStr">
        <is>
          <t>FF_PAY_OUT_RATIO(QTR,{p})</t>
        </is>
      </c>
      <c r="D18" s="12" t="inlineStr">
        <is>
          <t>Verified</t>
        </is>
      </c>
      <c r="E18" s="18">
        <f>_xlfn.IFNA(FDS($C$3,"FF_PAY_OUT_RATIO(QTR,"&amp;E$5&amp;")"),"-")</f>
        <v/>
      </c>
      <c r="F18" s="18">
        <f>_xlfn.IFNA(FDS($C$3,"FF_PAY_OUT_RATIO(QTR,"&amp;F$5&amp;")"),"-")</f>
        <v/>
      </c>
      <c r="G18" s="18">
        <f>_xlfn.IFNA(FDS($C$3,"FF_PAY_OUT_RATIO(QTR,"&amp;G$5&amp;")"),"-")</f>
        <v/>
      </c>
      <c r="H18" s="18">
        <f>_xlfn.IFNA(FDS($C$3,"FF_PAY_OUT_RATIO(QTR,"&amp;H$5&amp;")"),"-")</f>
        <v/>
      </c>
      <c r="I18" s="18">
        <f>_xlfn.IFNA(FDS($C$3,"FF_PAY_OUT_RATIO(QTR,"&amp;I$5&amp;")"),"-")</f>
        <v/>
      </c>
      <c r="J18" s="18">
        <f>_xlfn.IFNA(FDS($C$3,"FF_PAY_OUT_RATIO(QTR,"&amp;J$5&amp;")"),"-")</f>
        <v/>
      </c>
      <c r="K18" s="18">
        <f>_xlfn.IFNA(FDS($C$3,"FF_PAY_OUT_RATIO(QTR,"&amp;K$5&amp;")"),"-")</f>
        <v/>
      </c>
      <c r="L18" s="18">
        <f>_xlfn.IFNA(FDS($C$3,"FF_PAY_OUT_RATIO(QTR,"&amp;L$5&amp;")"),"-")</f>
        <v/>
      </c>
    </row>
    <row r="19">
      <c r="A19" s="6" t="inlineStr"/>
      <c r="B19" s="2" t="inlineStr">
        <is>
          <t>Dividends paid ($M)</t>
        </is>
      </c>
      <c r="C19" s="11" t="inlineStr">
        <is>
          <t>FF_DIV_CF(QTR,{p})</t>
        </is>
      </c>
      <c r="D19" s="12" t="inlineStr">
        <is>
          <t>Verified</t>
        </is>
      </c>
      <c r="E19" s="17">
        <f>_xlfn.IFNA(FDS($C$3,"FF_DIV_CF(QTR,"&amp;E$5&amp;")"),"-")</f>
        <v/>
      </c>
      <c r="F19" s="17">
        <f>_xlfn.IFNA(FDS($C$3,"FF_DIV_CF(QTR,"&amp;F$5&amp;")"),"-")</f>
        <v/>
      </c>
      <c r="G19" s="17">
        <f>_xlfn.IFNA(FDS($C$3,"FF_DIV_CF(QTR,"&amp;G$5&amp;")"),"-")</f>
        <v/>
      </c>
      <c r="H19" s="17">
        <f>_xlfn.IFNA(FDS($C$3,"FF_DIV_CF(QTR,"&amp;H$5&amp;")"),"-")</f>
        <v/>
      </c>
      <c r="I19" s="17">
        <f>_xlfn.IFNA(FDS($C$3,"FF_DIV_CF(QTR,"&amp;I$5&amp;")"),"-")</f>
        <v/>
      </c>
      <c r="J19" s="17">
        <f>_xlfn.IFNA(FDS($C$3,"FF_DIV_CF(QTR,"&amp;J$5&amp;")"),"-")</f>
        <v/>
      </c>
      <c r="K19" s="17">
        <f>_xlfn.IFNA(FDS($C$3,"FF_DIV_CF(QTR,"&amp;K$5&amp;")"),"-")</f>
        <v/>
      </c>
      <c r="L19" s="17">
        <f>_xlfn.IFNA(FDS($C$3,"FF_DIV_CF(QTR,"&amp;L$5&amp;")"),"-")</f>
        <v/>
      </c>
    </row>
    <row r="20">
      <c r="A20" s="6" t="inlineStr"/>
      <c r="B20" s="2" t="inlineStr">
        <is>
          <t>Share repurchases ($M)</t>
        </is>
      </c>
      <c r="C20" s="11" t="inlineStr">
        <is>
          <t>FF_SHS_REPURCH(TOTAL_VAL_REPURCH,QTR,{p})</t>
        </is>
      </c>
      <c r="D20" s="12" t="inlineStr">
        <is>
          <t>Verified</t>
        </is>
      </c>
      <c r="E20" s="17">
        <f>_xlfn.IFNA(FDS($C$3,"FF_SHS_REPURCH(TOTAL_VAL_REPURCH,QTR,"&amp;E$5&amp;")"),"-")</f>
        <v/>
      </c>
      <c r="F20" s="17">
        <f>_xlfn.IFNA(FDS($C$3,"FF_SHS_REPURCH(TOTAL_VAL_REPURCH,QTR,"&amp;F$5&amp;")"),"-")</f>
        <v/>
      </c>
      <c r="G20" s="17">
        <f>_xlfn.IFNA(FDS($C$3,"FF_SHS_REPURCH(TOTAL_VAL_REPURCH,QTR,"&amp;G$5&amp;")"),"-")</f>
        <v/>
      </c>
      <c r="H20" s="17">
        <f>_xlfn.IFNA(FDS($C$3,"FF_SHS_REPURCH(TOTAL_VAL_REPURCH,QTR,"&amp;H$5&amp;")"),"-")</f>
        <v/>
      </c>
      <c r="I20" s="17">
        <f>_xlfn.IFNA(FDS($C$3,"FF_SHS_REPURCH(TOTAL_VAL_REPURCH,QTR,"&amp;I$5&amp;")"),"-")</f>
        <v/>
      </c>
      <c r="J20" s="17">
        <f>_xlfn.IFNA(FDS($C$3,"FF_SHS_REPURCH(TOTAL_VAL_REPURCH,QTR,"&amp;J$5&amp;")"),"-")</f>
        <v/>
      </c>
      <c r="K20" s="17">
        <f>_xlfn.IFNA(FDS($C$3,"FF_SHS_REPURCH(TOTAL_VAL_REPURCH,QTR,"&amp;K$5&amp;")"),"-")</f>
        <v/>
      </c>
      <c r="L20" s="17">
        <f>_xlfn.IFNA(FDS($C$3,"FF_SHS_REPURCH(TOTAL_VAL_REPURCH,QTR,"&amp;L$5&amp;")"),"-")</f>
        <v/>
      </c>
    </row>
    <row r="21">
      <c r="A21" s="6" t="inlineStr"/>
      <c r="B21" s="2" t="inlineStr">
        <is>
          <t>DPS ($)</t>
        </is>
      </c>
      <c r="C21" s="11" t="inlineStr">
        <is>
          <t>FF_DPS(QTR,{p})</t>
        </is>
      </c>
      <c r="D21" s="12" t="inlineStr">
        <is>
          <t>Verified</t>
        </is>
      </c>
      <c r="E21" s="19">
        <f>_xlfn.IFNA(FDS($C$3,"FF_DPS(QTR,"&amp;E$5&amp;")"),"-")</f>
        <v/>
      </c>
      <c r="F21" s="19">
        <f>_xlfn.IFNA(FDS($C$3,"FF_DPS(QTR,"&amp;F$5&amp;")"),"-")</f>
        <v/>
      </c>
      <c r="G21" s="19">
        <f>_xlfn.IFNA(FDS($C$3,"FF_DPS(QTR,"&amp;G$5&amp;")"),"-")</f>
        <v/>
      </c>
      <c r="H21" s="19">
        <f>_xlfn.IFNA(FDS($C$3,"FF_DPS(QTR,"&amp;H$5&amp;")"),"-")</f>
        <v/>
      </c>
      <c r="I21" s="19">
        <f>_xlfn.IFNA(FDS($C$3,"FF_DPS(QTR,"&amp;I$5&amp;")"),"-")</f>
        <v/>
      </c>
      <c r="J21" s="19">
        <f>_xlfn.IFNA(FDS($C$3,"FF_DPS(QTR,"&amp;J$5&amp;")"),"-")</f>
        <v/>
      </c>
      <c r="K21" s="19">
        <f>_xlfn.IFNA(FDS($C$3,"FF_DPS(QTR,"&amp;K$5&amp;")"),"-")</f>
        <v/>
      </c>
      <c r="L21" s="19">
        <f>_xlfn.IFNA(FDS($C$3,"FF_DPS(QTR,"&amp;L$5&amp;")"),"-")</f>
        <v/>
      </c>
    </row>
    <row r="22">
      <c r="A22" s="6" t="inlineStr"/>
      <c r="B22" s="2" t="inlineStr">
        <is>
          <t>Shares outstanding (M)</t>
        </is>
      </c>
      <c r="C22" s="11" t="inlineStr">
        <is>
          <t>FF_COM_SHS_OUT(QTR_R,{p})</t>
        </is>
      </c>
      <c r="D22" s="12" t="inlineStr">
        <is>
          <t>Verified</t>
        </is>
      </c>
      <c r="E22" s="20">
        <f>_xlfn.IFNA(FDS($C$3,"FF_COM_SHS_OUT(QTR_R,"&amp;E$5&amp;")"),"-")</f>
        <v/>
      </c>
      <c r="F22" s="20">
        <f>_xlfn.IFNA(FDS($C$3,"FF_COM_SHS_OUT(QTR_R,"&amp;F$5&amp;")"),"-")</f>
        <v/>
      </c>
      <c r="G22" s="20">
        <f>_xlfn.IFNA(FDS($C$3,"FF_COM_SHS_OUT(QTR_R,"&amp;G$5&amp;")"),"-")</f>
        <v/>
      </c>
      <c r="H22" s="20">
        <f>_xlfn.IFNA(FDS($C$3,"FF_COM_SHS_OUT(QTR_R,"&amp;H$5&amp;")"),"-")</f>
        <v/>
      </c>
      <c r="I22" s="20">
        <f>_xlfn.IFNA(FDS($C$3,"FF_COM_SHS_OUT(QTR_R,"&amp;I$5&amp;")"),"-")</f>
        <v/>
      </c>
      <c r="J22" s="20">
        <f>_xlfn.IFNA(FDS($C$3,"FF_COM_SHS_OUT(QTR_R,"&amp;J$5&amp;")"),"-")</f>
        <v/>
      </c>
      <c r="K22" s="20">
        <f>_xlfn.IFNA(FDS($C$3,"FF_COM_SHS_OUT(QTR_R,"&amp;K$5&amp;")"),"-")</f>
        <v/>
      </c>
      <c r="L22" s="20">
        <f>_xlfn.IFNA(FDS($C$3,"FF_COM_SHS_OUT(QTR_R,"&amp;L$5&amp;")"),"-")</f>
        <v/>
      </c>
    </row>
    <row r="23">
      <c r="A23" s="6" t="inlineStr"/>
      <c r="B23" s="2" t="inlineStr">
        <is>
          <t>Stock repurchase CF ($M)</t>
        </is>
      </c>
      <c r="C23" s="11" t="inlineStr">
        <is>
          <t>FF_STK_PURCH_CF(QTR_R,{p})</t>
        </is>
      </c>
      <c r="D23" s="12" t="inlineStr">
        <is>
          <t>Verified</t>
        </is>
      </c>
      <c r="E23" s="17">
        <f>_xlfn.IFNA(FDS($C$3,"FF_STK_PURCH_CF(QTR_R,"&amp;E$5&amp;")"),"-")</f>
        <v/>
      </c>
      <c r="F23" s="17">
        <f>_xlfn.IFNA(FDS($C$3,"FF_STK_PURCH_CF(QTR_R,"&amp;F$5&amp;")"),"-")</f>
        <v/>
      </c>
      <c r="G23" s="17">
        <f>_xlfn.IFNA(FDS($C$3,"FF_STK_PURCH_CF(QTR_R,"&amp;G$5&amp;")"),"-")</f>
        <v/>
      </c>
      <c r="H23" s="17">
        <f>_xlfn.IFNA(FDS($C$3,"FF_STK_PURCH_CF(QTR_R,"&amp;H$5&amp;")"),"-")</f>
        <v/>
      </c>
      <c r="I23" s="17">
        <f>_xlfn.IFNA(FDS($C$3,"FF_STK_PURCH_CF(QTR_R,"&amp;I$5&amp;")"),"-")</f>
        <v/>
      </c>
      <c r="J23" s="17">
        <f>_xlfn.IFNA(FDS($C$3,"FF_STK_PURCH_CF(QTR_R,"&amp;J$5&amp;")"),"-")</f>
        <v/>
      </c>
      <c r="K23" s="17">
        <f>_xlfn.IFNA(FDS($C$3,"FF_STK_PURCH_CF(QTR_R,"&amp;K$5&amp;")"),"-")</f>
        <v/>
      </c>
      <c r="L23" s="17">
        <f>_xlfn.IFNA(FDS($C$3,"FF_STK_PURCH_CF(QTR_R,"&amp;L$5&amp;")"),"-")</f>
        <v/>
      </c>
    </row>
    <row r="24">
      <c r="A24" s="6" t="inlineStr"/>
      <c r="B24" s="2" t="inlineStr">
        <is>
          <t>Company market value ($M)</t>
        </is>
      </c>
      <c r="C24" s="11" t="inlineStr">
        <is>
          <t>FREF_MARKET_VALUE_COMPANY({p},,,,,0,,"LEGACY")</t>
        </is>
      </c>
      <c r="D24" s="12" t="inlineStr">
        <is>
          <t>Verified</t>
        </is>
      </c>
      <c r="E24" s="17">
        <f>_xlfn.IFNA(FDS($C$3,"FREF_MARKET_VALUE_COMPANY("&amp;E$5&amp;",,,,,0,,""LEGACY"")"),"-")</f>
        <v/>
      </c>
      <c r="F24" s="17">
        <f>_xlfn.IFNA(FDS($C$3,"FREF_MARKET_VALUE_COMPANY("&amp;F$5&amp;",,,,,0,,""LEGACY"")"),"-")</f>
        <v/>
      </c>
      <c r="G24" s="17">
        <f>_xlfn.IFNA(FDS($C$3,"FREF_MARKET_VALUE_COMPANY("&amp;G$5&amp;",,,,,0,,""LEGACY"")"),"-")</f>
        <v/>
      </c>
      <c r="H24" s="17">
        <f>_xlfn.IFNA(FDS($C$3,"FREF_MARKET_VALUE_COMPANY("&amp;H$5&amp;",,,,,0,,""LEGACY"")"),"-")</f>
        <v/>
      </c>
      <c r="I24" s="17">
        <f>_xlfn.IFNA(FDS($C$3,"FREF_MARKET_VALUE_COMPANY("&amp;I$5&amp;",,,,,0,,""LEGACY"")"),"-")</f>
        <v/>
      </c>
      <c r="J24" s="17">
        <f>_xlfn.IFNA(FDS($C$3,"FREF_MARKET_VALUE_COMPANY("&amp;J$5&amp;",,,,,0,,""LEGACY"")"),"-")</f>
        <v/>
      </c>
      <c r="K24" s="17">
        <f>_xlfn.IFNA(FDS($C$3,"FREF_MARKET_VALUE_COMPANY("&amp;K$5&amp;",,,,,0,,""LEGACY"")"),"-")</f>
        <v/>
      </c>
      <c r="L24" s="17">
        <f>_xlfn.IFNA(FDS($C$3,"FREF_MARKET_VALUE_COMPANY("&amp;L$5&amp;",,,,,0,,""LEGACY"")"),"-")</f>
        <v/>
      </c>
    </row>
    <row r="25">
      <c r="A25" s="14" t="inlineStr">
        <is>
          <t>Profitability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</row>
    <row r="26">
      <c r="A26" s="6" t="inlineStr"/>
      <c r="B26" s="2" t="inlineStr">
        <is>
          <t>ROTCE (%)</t>
        </is>
      </c>
      <c r="C26" s="11" t="inlineStr">
        <is>
          <t>FB_ROTCE(QTR,{p})   (FF_ROTCE quarterly returned NA)</t>
        </is>
      </c>
      <c r="D26" s="12" t="inlineStr">
        <is>
          <t>Verified</t>
        </is>
      </c>
      <c r="E26" s="18">
        <f>_xlfn.IFNA(FDS($C$3,"FB_ROTCE(QTR,"&amp;E$5&amp;")"),"-")</f>
        <v/>
      </c>
      <c r="F26" s="18">
        <f>_xlfn.IFNA(FDS($C$3,"FB_ROTCE(QTR,"&amp;F$5&amp;")"),"-")</f>
        <v/>
      </c>
      <c r="G26" s="18">
        <f>_xlfn.IFNA(FDS($C$3,"FB_ROTCE(QTR,"&amp;G$5&amp;")"),"-")</f>
        <v/>
      </c>
      <c r="H26" s="18">
        <f>_xlfn.IFNA(FDS($C$3,"FB_ROTCE(QTR,"&amp;H$5&amp;")"),"-")</f>
        <v/>
      </c>
      <c r="I26" s="18">
        <f>_xlfn.IFNA(FDS($C$3,"FB_ROTCE(QTR,"&amp;I$5&amp;")"),"-")</f>
        <v/>
      </c>
      <c r="J26" s="18">
        <f>_xlfn.IFNA(FDS($C$3,"FB_ROTCE(QTR,"&amp;J$5&amp;")"),"-")</f>
        <v/>
      </c>
      <c r="K26" s="18">
        <f>_xlfn.IFNA(FDS($C$3,"FB_ROTCE(QTR,"&amp;K$5&amp;")"),"-")</f>
        <v/>
      </c>
      <c r="L26" s="18">
        <f>_xlfn.IFNA(FDS($C$3,"FB_ROTCE(QTR,"&amp;L$5&amp;")"),"-")</f>
        <v/>
      </c>
    </row>
    <row r="27">
      <c r="A27" s="6" t="inlineStr"/>
      <c r="B27" s="2" t="inlineStr">
        <is>
          <t>ROE (%)</t>
        </is>
      </c>
      <c r="C27" s="11" t="inlineStr">
        <is>
          <t>FF_ROE(QTR,{p},,,,,,"D=1")</t>
        </is>
      </c>
      <c r="D27" s="12" t="inlineStr">
        <is>
          <t>Verified</t>
        </is>
      </c>
      <c r="E27" s="18">
        <f>_xlfn.IFNA(FDS($C$3,"FF_ROE(QTR,"&amp;E$5&amp;",,,,,,""D=1"")"),"-")</f>
        <v/>
      </c>
      <c r="F27" s="18">
        <f>_xlfn.IFNA(FDS($C$3,"FF_ROE(QTR,"&amp;F$5&amp;",,,,,,""D=1"")"),"-")</f>
        <v/>
      </c>
      <c r="G27" s="18">
        <f>_xlfn.IFNA(FDS($C$3,"FF_ROE(QTR,"&amp;G$5&amp;",,,,,,""D=1"")"),"-")</f>
        <v/>
      </c>
      <c r="H27" s="18">
        <f>_xlfn.IFNA(FDS($C$3,"FF_ROE(QTR,"&amp;H$5&amp;",,,,,,""D=1"")"),"-")</f>
        <v/>
      </c>
      <c r="I27" s="18">
        <f>_xlfn.IFNA(FDS($C$3,"FF_ROE(QTR,"&amp;I$5&amp;",,,,,,""D=1"")"),"-")</f>
        <v/>
      </c>
      <c r="J27" s="18">
        <f>_xlfn.IFNA(FDS($C$3,"FF_ROE(QTR,"&amp;J$5&amp;",,,,,,""D=1"")"),"-")</f>
        <v/>
      </c>
      <c r="K27" s="18">
        <f>_xlfn.IFNA(FDS($C$3,"FF_ROE(QTR,"&amp;K$5&amp;",,,,,,""D=1"")"),"-")</f>
        <v/>
      </c>
      <c r="L27" s="18">
        <f>_xlfn.IFNA(FDS($C$3,"FF_ROE(QTR,"&amp;L$5&amp;",,,,,,""D=1"")"),"-")</f>
        <v/>
      </c>
    </row>
    <row r="28">
      <c r="A28" s="6" t="inlineStr"/>
      <c r="B28" s="2" t="inlineStr">
        <is>
          <t>ROA (%)</t>
        </is>
      </c>
      <c r="C28" s="11" t="inlineStr">
        <is>
          <t>FF_ROA(QTR_R,{p},,,,,,"D=1")</t>
        </is>
      </c>
      <c r="D28" s="12" t="inlineStr">
        <is>
          <t>Verified</t>
        </is>
      </c>
      <c r="E28" s="18">
        <f>_xlfn.IFNA(FDS($C$3,"FF_ROA(QTR_R,"&amp;E$5&amp;",,,,,,""D=1"")"),"-")</f>
        <v/>
      </c>
      <c r="F28" s="18">
        <f>_xlfn.IFNA(FDS($C$3,"FF_ROA(QTR_R,"&amp;F$5&amp;",,,,,,""D=1"")"),"-")</f>
        <v/>
      </c>
      <c r="G28" s="18">
        <f>_xlfn.IFNA(FDS($C$3,"FF_ROA(QTR_R,"&amp;G$5&amp;",,,,,,""D=1"")"),"-")</f>
        <v/>
      </c>
      <c r="H28" s="18">
        <f>_xlfn.IFNA(FDS($C$3,"FF_ROA(QTR_R,"&amp;H$5&amp;",,,,,,""D=1"")"),"-")</f>
        <v/>
      </c>
      <c r="I28" s="18">
        <f>_xlfn.IFNA(FDS($C$3,"FF_ROA(QTR_R,"&amp;I$5&amp;",,,,,,""D=1"")"),"-")</f>
        <v/>
      </c>
      <c r="J28" s="18">
        <f>_xlfn.IFNA(FDS($C$3,"FF_ROA(QTR_R,"&amp;J$5&amp;",,,,,,""D=1"")"),"-")</f>
        <v/>
      </c>
      <c r="K28" s="18">
        <f>_xlfn.IFNA(FDS($C$3,"FF_ROA(QTR_R,"&amp;K$5&amp;",,,,,,""D=1"")"),"-")</f>
        <v/>
      </c>
      <c r="L28" s="18">
        <f>_xlfn.IFNA(FDS($C$3,"FF_ROA(QTR_R,"&amp;L$5&amp;",,,,,,""D=1"")"),"-")</f>
        <v/>
      </c>
    </row>
    <row r="29">
      <c r="A29" s="6" t="inlineStr"/>
      <c r="B29" s="2" t="inlineStr">
        <is>
          <t>EPS ($)</t>
        </is>
      </c>
      <c r="C29" s="11" t="inlineStr">
        <is>
          <t>FF_EPS(QTR_R,{p})</t>
        </is>
      </c>
      <c r="D29" s="12" t="inlineStr">
        <is>
          <t>Verified</t>
        </is>
      </c>
      <c r="E29" s="19">
        <f>_xlfn.IFNA(FDS($C$3,"FF_EPS(QTR_R,"&amp;E$5&amp;")"),"-")</f>
        <v/>
      </c>
      <c r="F29" s="19">
        <f>_xlfn.IFNA(FDS($C$3,"FF_EPS(QTR_R,"&amp;F$5&amp;")"),"-")</f>
        <v/>
      </c>
      <c r="G29" s="19">
        <f>_xlfn.IFNA(FDS($C$3,"FF_EPS(QTR_R,"&amp;G$5&amp;")"),"-")</f>
        <v/>
      </c>
      <c r="H29" s="19">
        <f>_xlfn.IFNA(FDS($C$3,"FF_EPS(QTR_R,"&amp;H$5&amp;")"),"-")</f>
        <v/>
      </c>
      <c r="I29" s="19">
        <f>_xlfn.IFNA(FDS($C$3,"FF_EPS(QTR_R,"&amp;I$5&amp;")"),"-")</f>
        <v/>
      </c>
      <c r="J29" s="19">
        <f>_xlfn.IFNA(FDS($C$3,"FF_EPS(QTR_R,"&amp;J$5&amp;")"),"-")</f>
        <v/>
      </c>
      <c r="K29" s="19">
        <f>_xlfn.IFNA(FDS($C$3,"FF_EPS(QTR_R,"&amp;K$5&amp;")"),"-")</f>
        <v/>
      </c>
      <c r="L29" s="19">
        <f>_xlfn.IFNA(FDS($C$3,"FF_EPS(QTR_R,"&amp;L$5&amp;")"),"-")</f>
        <v/>
      </c>
    </row>
    <row r="30">
      <c r="A30" s="6" t="inlineStr"/>
      <c r="B30" s="2" t="inlineStr">
        <is>
          <t>Net income ($M)</t>
        </is>
      </c>
      <c r="C30" s="11" t="inlineStr">
        <is>
          <t>FF_NET_INC(QTR,{p})</t>
        </is>
      </c>
      <c r="D30" s="12" t="inlineStr">
        <is>
          <t>Verified</t>
        </is>
      </c>
      <c r="E30" s="17">
        <f>_xlfn.IFNA(FDS($C$3,"FF_NET_INC(QTR,"&amp;E$5&amp;")"),"-")</f>
        <v/>
      </c>
      <c r="F30" s="17">
        <f>_xlfn.IFNA(FDS($C$3,"FF_NET_INC(QTR,"&amp;F$5&amp;")"),"-")</f>
        <v/>
      </c>
      <c r="G30" s="17">
        <f>_xlfn.IFNA(FDS($C$3,"FF_NET_INC(QTR,"&amp;G$5&amp;")"),"-")</f>
        <v/>
      </c>
      <c r="H30" s="17">
        <f>_xlfn.IFNA(FDS($C$3,"FF_NET_INC(QTR,"&amp;H$5&amp;")"),"-")</f>
        <v/>
      </c>
      <c r="I30" s="17">
        <f>_xlfn.IFNA(FDS($C$3,"FF_NET_INC(QTR,"&amp;I$5&amp;")"),"-")</f>
        <v/>
      </c>
      <c r="J30" s="17">
        <f>_xlfn.IFNA(FDS($C$3,"FF_NET_INC(QTR,"&amp;J$5&amp;")"),"-")</f>
        <v/>
      </c>
      <c r="K30" s="17">
        <f>_xlfn.IFNA(FDS($C$3,"FF_NET_INC(QTR,"&amp;K$5&amp;")"),"-")</f>
        <v/>
      </c>
      <c r="L30" s="17">
        <f>_xlfn.IFNA(FDS($C$3,"FF_NET_INC(QTR,"&amp;L$5&amp;")"),"-")</f>
        <v/>
      </c>
    </row>
    <row r="31">
      <c r="A31" s="6" t="inlineStr"/>
      <c r="B31" s="2" t="inlineStr">
        <is>
          <t>PPNR ($M)</t>
        </is>
      </c>
      <c r="C31" s="11" t="inlineStr">
        <is>
          <t>FF_PPNR(QTR,{p})</t>
        </is>
      </c>
      <c r="D31" s="12" t="inlineStr">
        <is>
          <t>Verified</t>
        </is>
      </c>
      <c r="E31" s="17">
        <f>_xlfn.IFNA(FDS($C$3,"FF_PPNR(QTR,"&amp;E$5&amp;")"),"-")</f>
        <v/>
      </c>
      <c r="F31" s="17">
        <f>_xlfn.IFNA(FDS($C$3,"FF_PPNR(QTR,"&amp;F$5&amp;")"),"-")</f>
        <v/>
      </c>
      <c r="G31" s="17">
        <f>_xlfn.IFNA(FDS($C$3,"FF_PPNR(QTR,"&amp;G$5&amp;")"),"-")</f>
        <v/>
      </c>
      <c r="H31" s="17">
        <f>_xlfn.IFNA(FDS($C$3,"FF_PPNR(QTR,"&amp;H$5&amp;")"),"-")</f>
        <v/>
      </c>
      <c r="I31" s="17">
        <f>_xlfn.IFNA(FDS($C$3,"FF_PPNR(QTR,"&amp;I$5&amp;")"),"-")</f>
        <v/>
      </c>
      <c r="J31" s="17">
        <f>_xlfn.IFNA(FDS($C$3,"FF_PPNR(QTR,"&amp;J$5&amp;")"),"-")</f>
        <v/>
      </c>
      <c r="K31" s="17">
        <f>_xlfn.IFNA(FDS($C$3,"FF_PPNR(QTR,"&amp;K$5&amp;")"),"-")</f>
        <v/>
      </c>
      <c r="L31" s="17">
        <f>_xlfn.IFNA(FDS($C$3,"FF_PPNR(QTR,"&amp;L$5&amp;")"),"-")</f>
        <v/>
      </c>
    </row>
    <row r="32">
      <c r="A32" s="6" t="inlineStr"/>
      <c r="B32" s="2" t="inlineStr">
        <is>
          <t>Effective tax rate (%)</t>
        </is>
      </c>
      <c r="C32" s="11" t="inlineStr">
        <is>
          <t>FF_TAX_RATE(QTR_R,{p})</t>
        </is>
      </c>
      <c r="D32" s="12" t="inlineStr">
        <is>
          <t>Verified</t>
        </is>
      </c>
      <c r="E32" s="18">
        <f>_xlfn.IFNA(FDS($C$3,"FF_TAX_RATE(QTR_R,"&amp;E$5&amp;")"),"-")</f>
        <v/>
      </c>
      <c r="F32" s="18">
        <f>_xlfn.IFNA(FDS($C$3,"FF_TAX_RATE(QTR_R,"&amp;F$5&amp;")"),"-")</f>
        <v/>
      </c>
      <c r="G32" s="18">
        <f>_xlfn.IFNA(FDS($C$3,"FF_TAX_RATE(QTR_R,"&amp;G$5&amp;")"),"-")</f>
        <v/>
      </c>
      <c r="H32" s="18">
        <f>_xlfn.IFNA(FDS($C$3,"FF_TAX_RATE(QTR_R,"&amp;H$5&amp;")"),"-")</f>
        <v/>
      </c>
      <c r="I32" s="18">
        <f>_xlfn.IFNA(FDS($C$3,"FF_TAX_RATE(QTR_R,"&amp;I$5&amp;")"),"-")</f>
        <v/>
      </c>
      <c r="J32" s="18">
        <f>_xlfn.IFNA(FDS($C$3,"FF_TAX_RATE(QTR_R,"&amp;J$5&amp;")"),"-")</f>
        <v/>
      </c>
      <c r="K32" s="18">
        <f>_xlfn.IFNA(FDS($C$3,"FF_TAX_RATE(QTR_R,"&amp;K$5&amp;")"),"-")</f>
        <v/>
      </c>
      <c r="L32" s="18">
        <f>_xlfn.IFNA(FDS($C$3,"FF_TAX_RATE(QTR_R,"&amp;L$5&amp;")"),"-")</f>
        <v/>
      </c>
    </row>
    <row r="33">
      <c r="A33" s="14" t="inlineStr">
        <is>
          <t>Revenue</t>
        </is>
      </c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</row>
    <row r="34">
      <c r="A34" s="6" t="inlineStr"/>
      <c r="B34" s="2" t="inlineStr">
        <is>
          <t>Net interest income ($M)</t>
        </is>
      </c>
      <c r="C34" s="11" t="inlineStr">
        <is>
          <t>FF_INT_INC_NET(QTR_R,{p})</t>
        </is>
      </c>
      <c r="D34" s="12" t="inlineStr">
        <is>
          <t>Verified</t>
        </is>
      </c>
      <c r="E34" s="17">
        <f>_xlfn.IFNA(FDS($C$3,"FF_INT_INC_NET(QTR_R,"&amp;E$5&amp;")"),"-")</f>
        <v/>
      </c>
      <c r="F34" s="17">
        <f>_xlfn.IFNA(FDS($C$3,"FF_INT_INC_NET(QTR_R,"&amp;F$5&amp;")"),"-")</f>
        <v/>
      </c>
      <c r="G34" s="17">
        <f>_xlfn.IFNA(FDS($C$3,"FF_INT_INC_NET(QTR_R,"&amp;G$5&amp;")"),"-")</f>
        <v/>
      </c>
      <c r="H34" s="17">
        <f>_xlfn.IFNA(FDS($C$3,"FF_INT_INC_NET(QTR_R,"&amp;H$5&amp;")"),"-")</f>
        <v/>
      </c>
      <c r="I34" s="17">
        <f>_xlfn.IFNA(FDS($C$3,"FF_INT_INC_NET(QTR_R,"&amp;I$5&amp;")"),"-")</f>
        <v/>
      </c>
      <c r="J34" s="17">
        <f>_xlfn.IFNA(FDS($C$3,"FF_INT_INC_NET(QTR_R,"&amp;J$5&amp;")"),"-")</f>
        <v/>
      </c>
      <c r="K34" s="17">
        <f>_xlfn.IFNA(FDS($C$3,"FF_INT_INC_NET(QTR_R,"&amp;K$5&amp;")"),"-")</f>
        <v/>
      </c>
      <c r="L34" s="17">
        <f>_xlfn.IFNA(FDS($C$3,"FF_INT_INC_NET(QTR_R,"&amp;L$5&amp;")"),"-")</f>
        <v/>
      </c>
    </row>
    <row r="35">
      <c r="A35" s="6" t="inlineStr"/>
      <c r="B35" s="2" t="inlineStr">
        <is>
          <t>Non-interest income ($M)</t>
        </is>
      </c>
      <c r="C35" s="11" t="inlineStr">
        <is>
          <t>FF_NON_INT_INC(QTR,{p})</t>
        </is>
      </c>
      <c r="D35" s="12" t="inlineStr">
        <is>
          <t>Verified</t>
        </is>
      </c>
      <c r="E35" s="17">
        <f>_xlfn.IFNA(FDS($C$3,"FF_NON_INT_INC(QTR,"&amp;E$5&amp;")"),"-")</f>
        <v/>
      </c>
      <c r="F35" s="17">
        <f>_xlfn.IFNA(FDS($C$3,"FF_NON_INT_INC(QTR,"&amp;F$5&amp;")"),"-")</f>
        <v/>
      </c>
      <c r="G35" s="17">
        <f>_xlfn.IFNA(FDS($C$3,"FF_NON_INT_INC(QTR,"&amp;G$5&amp;")"),"-")</f>
        <v/>
      </c>
      <c r="H35" s="17">
        <f>_xlfn.IFNA(FDS($C$3,"FF_NON_INT_INC(QTR,"&amp;H$5&amp;")"),"-")</f>
        <v/>
      </c>
      <c r="I35" s="17">
        <f>_xlfn.IFNA(FDS($C$3,"FF_NON_INT_INC(QTR,"&amp;I$5&amp;")"),"-")</f>
        <v/>
      </c>
      <c r="J35" s="17">
        <f>_xlfn.IFNA(FDS($C$3,"FF_NON_INT_INC(QTR,"&amp;J$5&amp;")"),"-")</f>
        <v/>
      </c>
      <c r="K35" s="17">
        <f>_xlfn.IFNA(FDS($C$3,"FF_NON_INT_INC(QTR,"&amp;K$5&amp;")"),"-")</f>
        <v/>
      </c>
      <c r="L35" s="17">
        <f>_xlfn.IFNA(FDS($C$3,"FF_NON_INT_INC(QTR,"&amp;L$5&amp;")"),"-")</f>
        <v/>
      </c>
    </row>
    <row r="36">
      <c r="A36" s="6" t="inlineStr"/>
      <c r="B36" s="2" t="inlineStr">
        <is>
          <t>Total revenue ($M)</t>
        </is>
      </c>
      <c r="C36" s="11" t="inlineStr">
        <is>
          <t>cell math: NII + non-interest income</t>
        </is>
      </c>
      <c r="D36" s="6" t="inlineStr">
        <is>
          <t>Cell math</t>
        </is>
      </c>
      <c r="E36" s="17">
        <f>IFERROR(E34+E35,"-")</f>
        <v/>
      </c>
      <c r="F36" s="17">
        <f>IFERROR(F34+F35,"-")</f>
        <v/>
      </c>
      <c r="G36" s="17">
        <f>IFERROR(G34+G35,"-")</f>
        <v/>
      </c>
      <c r="H36" s="17">
        <f>IFERROR(H34+H35,"-")</f>
        <v/>
      </c>
      <c r="I36" s="17">
        <f>IFERROR(I34+I35,"-")</f>
        <v/>
      </c>
      <c r="J36" s="17">
        <f>IFERROR(J34+J35,"-")</f>
        <v/>
      </c>
      <c r="K36" s="17">
        <f>IFERROR(K34+K35,"-")</f>
        <v/>
      </c>
      <c r="L36" s="17">
        <f>IFERROR(L34+L35,"-")</f>
        <v/>
      </c>
    </row>
    <row r="37">
      <c r="A37" s="14" t="inlineStr">
        <is>
          <t>Efficiency</t>
        </is>
      </c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</row>
    <row r="38">
      <c r="A38" s="6" t="inlineStr"/>
      <c r="B38" s="2" t="inlineStr">
        <is>
          <t>Efficiency ratio (%) - FF_EFF_RATIO x100</t>
        </is>
      </c>
      <c r="C38" s="11" t="inlineStr">
        <is>
          <t>FF_EFF_RATIO(QTR_R,{p})  x100   (code returns a fraction, x100)</t>
        </is>
      </c>
      <c r="D38" s="12" t="inlineStr">
        <is>
          <t>Verified</t>
        </is>
      </c>
      <c r="E38" s="18">
        <f>_xlfn.IFNA(FDS($C$3,"FF_EFF_RATIO(QTR_R,"&amp;E$5&amp;")")*100,"-")</f>
        <v/>
      </c>
      <c r="F38" s="18">
        <f>_xlfn.IFNA(FDS($C$3,"FF_EFF_RATIO(QTR_R,"&amp;F$5&amp;")")*100,"-")</f>
        <v/>
      </c>
      <c r="G38" s="18">
        <f>_xlfn.IFNA(FDS($C$3,"FF_EFF_RATIO(QTR_R,"&amp;G$5&amp;")")*100,"-")</f>
        <v/>
      </c>
      <c r="H38" s="18">
        <f>_xlfn.IFNA(FDS($C$3,"FF_EFF_RATIO(QTR_R,"&amp;H$5&amp;")")*100,"-")</f>
        <v/>
      </c>
      <c r="I38" s="18">
        <f>_xlfn.IFNA(FDS($C$3,"FF_EFF_RATIO(QTR_R,"&amp;I$5&amp;")")*100,"-")</f>
        <v/>
      </c>
      <c r="J38" s="18">
        <f>_xlfn.IFNA(FDS($C$3,"FF_EFF_RATIO(QTR_R,"&amp;J$5&amp;")")*100,"-")</f>
        <v/>
      </c>
      <c r="K38" s="18">
        <f>_xlfn.IFNA(FDS($C$3,"FF_EFF_RATIO(QTR_R,"&amp;K$5&amp;")")*100,"-")</f>
        <v/>
      </c>
      <c r="L38" s="18">
        <f>_xlfn.IFNA(FDS($C$3,"FF_EFF_RATIO(QTR_R,"&amp;L$5&amp;")")*100,"-")</f>
        <v/>
      </c>
    </row>
    <row r="39">
      <c r="A39" s="6" t="inlineStr"/>
      <c r="B39" s="2" t="inlineStr">
        <is>
          <t>Efficiency ratio (%) - FF_BK_EFF_RATIO</t>
        </is>
      </c>
      <c r="C39" s="11" t="inlineStr">
        <is>
          <t>FF_BK_EFF_RATIO(QTR,{p})   (whole %; compare with the row above)</t>
        </is>
      </c>
      <c r="D39" s="12" t="inlineStr">
        <is>
          <t>Verified</t>
        </is>
      </c>
      <c r="E39" s="18">
        <f>_xlfn.IFNA(FDS($C$3,"FF_BK_EFF_RATIO(QTR,"&amp;E$5&amp;")"),"-")</f>
        <v/>
      </c>
      <c r="F39" s="18">
        <f>_xlfn.IFNA(FDS($C$3,"FF_BK_EFF_RATIO(QTR,"&amp;F$5&amp;")"),"-")</f>
        <v/>
      </c>
      <c r="G39" s="18">
        <f>_xlfn.IFNA(FDS($C$3,"FF_BK_EFF_RATIO(QTR,"&amp;G$5&amp;")"),"-")</f>
        <v/>
      </c>
      <c r="H39" s="18">
        <f>_xlfn.IFNA(FDS($C$3,"FF_BK_EFF_RATIO(QTR,"&amp;H$5&amp;")"),"-")</f>
        <v/>
      </c>
      <c r="I39" s="18">
        <f>_xlfn.IFNA(FDS($C$3,"FF_BK_EFF_RATIO(QTR,"&amp;I$5&amp;")"),"-")</f>
        <v/>
      </c>
      <c r="J39" s="18">
        <f>_xlfn.IFNA(FDS($C$3,"FF_BK_EFF_RATIO(QTR,"&amp;J$5&amp;")"),"-")</f>
        <v/>
      </c>
      <c r="K39" s="18">
        <f>_xlfn.IFNA(FDS($C$3,"FF_BK_EFF_RATIO(QTR,"&amp;K$5&amp;")"),"-")</f>
        <v/>
      </c>
      <c r="L39" s="18">
        <f>_xlfn.IFNA(FDS($C$3,"FF_BK_EFF_RATIO(QTR,"&amp;L$5&amp;")"),"-")</f>
        <v/>
      </c>
    </row>
    <row r="40">
      <c r="A40" s="6" t="inlineStr"/>
      <c r="B40" s="2" t="inlineStr">
        <is>
          <t>Non-interest expense ($M)</t>
        </is>
      </c>
      <c r="C40" s="11" t="inlineStr">
        <is>
          <t>FF_NON_INT_EXP(QTR,{p})</t>
        </is>
      </c>
      <c r="D40" s="12" t="inlineStr">
        <is>
          <t>Verified</t>
        </is>
      </c>
      <c r="E40" s="17">
        <f>_xlfn.IFNA(FDS($C$3,"FF_NON_INT_EXP(QTR,"&amp;E$5&amp;")"),"-")</f>
        <v/>
      </c>
      <c r="F40" s="17">
        <f>_xlfn.IFNA(FDS($C$3,"FF_NON_INT_EXP(QTR,"&amp;F$5&amp;")"),"-")</f>
        <v/>
      </c>
      <c r="G40" s="17">
        <f>_xlfn.IFNA(FDS($C$3,"FF_NON_INT_EXP(QTR,"&amp;G$5&amp;")"),"-")</f>
        <v/>
      </c>
      <c r="H40" s="17">
        <f>_xlfn.IFNA(FDS($C$3,"FF_NON_INT_EXP(QTR,"&amp;H$5&amp;")"),"-")</f>
        <v/>
      </c>
      <c r="I40" s="17">
        <f>_xlfn.IFNA(FDS($C$3,"FF_NON_INT_EXP(QTR,"&amp;I$5&amp;")"),"-")</f>
        <v/>
      </c>
      <c r="J40" s="17">
        <f>_xlfn.IFNA(FDS($C$3,"FF_NON_INT_EXP(QTR,"&amp;J$5&amp;")"),"-")</f>
        <v/>
      </c>
      <c r="K40" s="17">
        <f>_xlfn.IFNA(FDS($C$3,"FF_NON_INT_EXP(QTR,"&amp;K$5&amp;")"),"-")</f>
        <v/>
      </c>
      <c r="L40" s="17">
        <f>_xlfn.IFNA(FDS($C$3,"FF_NON_INT_EXP(QTR,"&amp;L$5&amp;")"),"-")</f>
        <v/>
      </c>
    </row>
    <row r="41">
      <c r="A41" s="6" t="inlineStr"/>
      <c r="B41" s="2" t="inlineStr">
        <is>
          <t>Personnel expense ($M)</t>
        </is>
      </c>
      <c r="C41" s="11" t="inlineStr">
        <is>
          <t>FF_LABOR_EXP(QTR,{p})</t>
        </is>
      </c>
      <c r="D41" s="12" t="inlineStr">
        <is>
          <t>Verified</t>
        </is>
      </c>
      <c r="E41" s="17">
        <f>_xlfn.IFNA(FDS($C$3,"FF_LABOR_EXP(QTR,"&amp;E$5&amp;")"),"-")</f>
        <v/>
      </c>
      <c r="F41" s="17">
        <f>_xlfn.IFNA(FDS($C$3,"FF_LABOR_EXP(QTR,"&amp;F$5&amp;")"),"-")</f>
        <v/>
      </c>
      <c r="G41" s="17">
        <f>_xlfn.IFNA(FDS($C$3,"FF_LABOR_EXP(QTR,"&amp;G$5&amp;")"),"-")</f>
        <v/>
      </c>
      <c r="H41" s="17">
        <f>_xlfn.IFNA(FDS($C$3,"FF_LABOR_EXP(QTR,"&amp;H$5&amp;")"),"-")</f>
        <v/>
      </c>
      <c r="I41" s="17">
        <f>_xlfn.IFNA(FDS($C$3,"FF_LABOR_EXP(QTR,"&amp;I$5&amp;")"),"-")</f>
        <v/>
      </c>
      <c r="J41" s="17">
        <f>_xlfn.IFNA(FDS($C$3,"FF_LABOR_EXP(QTR,"&amp;J$5&amp;")"),"-")</f>
        <v/>
      </c>
      <c r="K41" s="17">
        <f>_xlfn.IFNA(FDS($C$3,"FF_LABOR_EXP(QTR,"&amp;K$5&amp;")"),"-")</f>
        <v/>
      </c>
      <c r="L41" s="17">
        <f>_xlfn.IFNA(FDS($C$3,"FF_LABOR_EXP(QTR,"&amp;L$5&amp;")"),"-")</f>
        <v/>
      </c>
    </row>
    <row r="42">
      <c r="A42" s="14" t="inlineStr">
        <is>
          <t>NIM &amp; funding</t>
        </is>
      </c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</row>
    <row r="43">
      <c r="A43" s="6" t="inlineStr"/>
      <c r="B43" s="2" t="inlineStr">
        <is>
          <t>NIM (%)</t>
        </is>
      </c>
      <c r="C43" s="11" t="inlineStr">
        <is>
          <t>FB_INT_MGN(QTR,{p})   (FF_INT_MGN quarterly returned NA for HBAN)</t>
        </is>
      </c>
      <c r="D43" s="12" t="inlineStr">
        <is>
          <t>Verified</t>
        </is>
      </c>
      <c r="E43" s="18">
        <f>_xlfn.IFNA(FDS($C$3,"FB_INT_MGN(QTR,"&amp;E$5&amp;")"),"-")</f>
        <v/>
      </c>
      <c r="F43" s="18">
        <f>_xlfn.IFNA(FDS($C$3,"FB_INT_MGN(QTR,"&amp;F$5&amp;")"),"-")</f>
        <v/>
      </c>
      <c r="G43" s="18">
        <f>_xlfn.IFNA(FDS($C$3,"FB_INT_MGN(QTR,"&amp;G$5&amp;")"),"-")</f>
        <v/>
      </c>
      <c r="H43" s="18">
        <f>_xlfn.IFNA(FDS($C$3,"FB_INT_MGN(QTR,"&amp;H$5&amp;")"),"-")</f>
        <v/>
      </c>
      <c r="I43" s="18">
        <f>_xlfn.IFNA(FDS($C$3,"FB_INT_MGN(QTR,"&amp;I$5&amp;")"),"-")</f>
        <v/>
      </c>
      <c r="J43" s="18">
        <f>_xlfn.IFNA(FDS($C$3,"FB_INT_MGN(QTR,"&amp;J$5&amp;")"),"-")</f>
        <v/>
      </c>
      <c r="K43" s="18">
        <f>_xlfn.IFNA(FDS($C$3,"FB_INT_MGN(QTR,"&amp;K$5&amp;")"),"-")</f>
        <v/>
      </c>
      <c r="L43" s="18">
        <f>_xlfn.IFNA(FDS($C$3,"FB_INT_MGN(QTR,"&amp;L$5&amp;")"),"-")</f>
        <v/>
      </c>
    </row>
    <row r="44">
      <c r="A44" s="6" t="inlineStr"/>
      <c r="B44" s="2" t="inlineStr">
        <is>
          <t>Earning-asset yield (%)</t>
        </is>
      </c>
      <c r="C44" s="11" t="inlineStr">
        <is>
          <t>FF_YLD_INT_EARN_ASSETS(QTR_R,{p})</t>
        </is>
      </c>
      <c r="D44" s="12" t="inlineStr">
        <is>
          <t>Verified</t>
        </is>
      </c>
      <c r="E44" s="18">
        <f>_xlfn.IFNA(FDS($C$3,"FF_YLD_INT_EARN_ASSETS(QTR_R,"&amp;E$5&amp;")"),"-")</f>
        <v/>
      </c>
      <c r="F44" s="18">
        <f>_xlfn.IFNA(FDS($C$3,"FF_YLD_INT_EARN_ASSETS(QTR_R,"&amp;F$5&amp;")"),"-")</f>
        <v/>
      </c>
      <c r="G44" s="18">
        <f>_xlfn.IFNA(FDS($C$3,"FF_YLD_INT_EARN_ASSETS(QTR_R,"&amp;G$5&amp;")"),"-")</f>
        <v/>
      </c>
      <c r="H44" s="18">
        <f>_xlfn.IFNA(FDS($C$3,"FF_YLD_INT_EARN_ASSETS(QTR_R,"&amp;H$5&amp;")"),"-")</f>
        <v/>
      </c>
      <c r="I44" s="18">
        <f>_xlfn.IFNA(FDS($C$3,"FF_YLD_INT_EARN_ASSETS(QTR_R,"&amp;I$5&amp;")"),"-")</f>
        <v/>
      </c>
      <c r="J44" s="18">
        <f>_xlfn.IFNA(FDS($C$3,"FF_YLD_INT_EARN_ASSETS(QTR_R,"&amp;J$5&amp;")"),"-")</f>
        <v/>
      </c>
      <c r="K44" s="18">
        <f>_xlfn.IFNA(FDS($C$3,"FF_YLD_INT_EARN_ASSETS(QTR_R,"&amp;K$5&amp;")"),"-")</f>
        <v/>
      </c>
      <c r="L44" s="18">
        <f>_xlfn.IFNA(FDS($C$3,"FF_YLD_INT_EARN_ASSETS(QTR_R,"&amp;L$5&amp;")"),"-")</f>
        <v/>
      </c>
    </row>
    <row r="45">
      <c r="A45" s="6" t="inlineStr"/>
      <c r="B45" s="2" t="inlineStr">
        <is>
          <t>Total interest expense ($M)</t>
        </is>
      </c>
      <c r="C45" s="11" t="inlineStr">
        <is>
          <t>FF_INT_EXP_TOT(QTR,{p})</t>
        </is>
      </c>
      <c r="D45" s="12" t="inlineStr">
        <is>
          <t>Verified</t>
        </is>
      </c>
      <c r="E45" s="17">
        <f>_xlfn.IFNA(FDS($C$3,"FF_INT_EXP_TOT(QTR,"&amp;E$5&amp;")"),"-")</f>
        <v/>
      </c>
      <c r="F45" s="17">
        <f>_xlfn.IFNA(FDS($C$3,"FF_INT_EXP_TOT(QTR,"&amp;F$5&amp;")"),"-")</f>
        <v/>
      </c>
      <c r="G45" s="17">
        <f>_xlfn.IFNA(FDS($C$3,"FF_INT_EXP_TOT(QTR,"&amp;G$5&amp;")"),"-")</f>
        <v/>
      </c>
      <c r="H45" s="17">
        <f>_xlfn.IFNA(FDS($C$3,"FF_INT_EXP_TOT(QTR,"&amp;H$5&amp;")"),"-")</f>
        <v/>
      </c>
      <c r="I45" s="17">
        <f>_xlfn.IFNA(FDS($C$3,"FF_INT_EXP_TOT(QTR,"&amp;I$5&amp;")"),"-")</f>
        <v/>
      </c>
      <c r="J45" s="17">
        <f>_xlfn.IFNA(FDS($C$3,"FF_INT_EXP_TOT(QTR,"&amp;J$5&amp;")"),"-")</f>
        <v/>
      </c>
      <c r="K45" s="17">
        <f>_xlfn.IFNA(FDS($C$3,"FF_INT_EXP_TOT(QTR,"&amp;K$5&amp;")"),"-")</f>
        <v/>
      </c>
      <c r="L45" s="17">
        <f>_xlfn.IFNA(FDS($C$3,"FF_INT_EXP_TOT(QTR,"&amp;L$5&amp;")"),"-")</f>
        <v/>
      </c>
    </row>
    <row r="46">
      <c r="A46" s="6" t="inlineStr"/>
      <c r="B46" s="2" t="inlineStr">
        <is>
          <t>Avg interest-bearing liabilities ($M)</t>
        </is>
      </c>
      <c r="C46" s="11" t="inlineStr">
        <is>
          <t>FF_BK_AVG_LIABS_INTB(QTR_TOT,{p})</t>
        </is>
      </c>
      <c r="D46" s="12" t="inlineStr">
        <is>
          <t>Verified</t>
        </is>
      </c>
      <c r="E46" s="17">
        <f>_xlfn.IFNA(FDS($C$3,"FF_BK_AVG_LIABS_INTB(QTR_TOT,"&amp;E$5&amp;")"),"-")</f>
        <v/>
      </c>
      <c r="F46" s="17">
        <f>_xlfn.IFNA(FDS($C$3,"FF_BK_AVG_LIABS_INTB(QTR_TOT,"&amp;F$5&amp;")"),"-")</f>
        <v/>
      </c>
      <c r="G46" s="17">
        <f>_xlfn.IFNA(FDS($C$3,"FF_BK_AVG_LIABS_INTB(QTR_TOT,"&amp;G$5&amp;")"),"-")</f>
        <v/>
      </c>
      <c r="H46" s="17">
        <f>_xlfn.IFNA(FDS($C$3,"FF_BK_AVG_LIABS_INTB(QTR_TOT,"&amp;H$5&amp;")"),"-")</f>
        <v/>
      </c>
      <c r="I46" s="17">
        <f>_xlfn.IFNA(FDS($C$3,"FF_BK_AVG_LIABS_INTB(QTR_TOT,"&amp;I$5&amp;")"),"-")</f>
        <v/>
      </c>
      <c r="J46" s="17">
        <f>_xlfn.IFNA(FDS($C$3,"FF_BK_AVG_LIABS_INTB(QTR_TOT,"&amp;J$5&amp;")"),"-")</f>
        <v/>
      </c>
      <c r="K46" s="17">
        <f>_xlfn.IFNA(FDS($C$3,"FF_BK_AVG_LIABS_INTB(QTR_TOT,"&amp;K$5&amp;")"),"-")</f>
        <v/>
      </c>
      <c r="L46" s="17">
        <f>_xlfn.IFNA(FDS($C$3,"FF_BK_AVG_LIABS_INTB(QTR_TOT,"&amp;L$5&amp;")"),"-")</f>
        <v/>
      </c>
    </row>
    <row r="47">
      <c r="A47" s="6" t="inlineStr"/>
      <c r="B47" s="2" t="inlineStr">
        <is>
          <t>Cost of funds (%, annualized)</t>
        </is>
      </c>
      <c r="C47" s="11" t="inlineStr">
        <is>
          <t>cell math: int. expense / avg IBL x100 x4</t>
        </is>
      </c>
      <c r="D47" s="6" t="inlineStr">
        <is>
          <t>Cell math</t>
        </is>
      </c>
      <c r="E47" s="18">
        <f>IFERROR((E45/E46)*100*4,"-")</f>
        <v/>
      </c>
      <c r="F47" s="18">
        <f>IFERROR((F45/F46)*100*4,"-")</f>
        <v/>
      </c>
      <c r="G47" s="18">
        <f>IFERROR((G45/G46)*100*4,"-")</f>
        <v/>
      </c>
      <c r="H47" s="18">
        <f>IFERROR((H45/H46)*100*4,"-")</f>
        <v/>
      </c>
      <c r="I47" s="18">
        <f>IFERROR((I45/I46)*100*4,"-")</f>
        <v/>
      </c>
      <c r="J47" s="18">
        <f>IFERROR((J45/J46)*100*4,"-")</f>
        <v/>
      </c>
      <c r="K47" s="18">
        <f>IFERROR((K45/K46)*100*4,"-")</f>
        <v/>
      </c>
      <c r="L47" s="18">
        <f>IFERROR((L45/L46)*100*4,"-")</f>
        <v/>
      </c>
    </row>
    <row r="48">
      <c r="A48" s="6" t="inlineStr"/>
      <c r="B48" s="2" t="inlineStr">
        <is>
          <t>Deposit cost (%, annualized)</t>
        </is>
      </c>
      <c r="C48" s="11" t="inlineStr">
        <is>
          <t>FF_COST_DEPS(QTR,{p})  x4   (quarterly rate, x4)</t>
        </is>
      </c>
      <c r="D48" s="12" t="inlineStr">
        <is>
          <t>Verified</t>
        </is>
      </c>
      <c r="E48" s="18">
        <f>_xlfn.IFNA(FDS($C$3,"FF_COST_DEPS(QTR,"&amp;E$5&amp;")")*4,"-")</f>
        <v/>
      </c>
      <c r="F48" s="18">
        <f>_xlfn.IFNA(FDS($C$3,"FF_COST_DEPS(QTR,"&amp;F$5&amp;")")*4,"-")</f>
        <v/>
      </c>
      <c r="G48" s="18">
        <f>_xlfn.IFNA(FDS($C$3,"FF_COST_DEPS(QTR,"&amp;G$5&amp;")")*4,"-")</f>
        <v/>
      </c>
      <c r="H48" s="18">
        <f>_xlfn.IFNA(FDS($C$3,"FF_COST_DEPS(QTR,"&amp;H$5&amp;")")*4,"-")</f>
        <v/>
      </c>
      <c r="I48" s="18">
        <f>_xlfn.IFNA(FDS($C$3,"FF_COST_DEPS(QTR,"&amp;I$5&amp;")")*4,"-")</f>
        <v/>
      </c>
      <c r="J48" s="18">
        <f>_xlfn.IFNA(FDS($C$3,"FF_COST_DEPS(QTR,"&amp;J$5&amp;")")*4,"-")</f>
        <v/>
      </c>
      <c r="K48" s="18">
        <f>_xlfn.IFNA(FDS($C$3,"FF_COST_DEPS(QTR,"&amp;K$5&amp;")")*4,"-")</f>
        <v/>
      </c>
      <c r="L48" s="18">
        <f>_xlfn.IFNA(FDS($C$3,"FF_COST_DEPS(QTR,"&amp;L$5&amp;")")*4,"-")</f>
        <v/>
      </c>
    </row>
    <row r="49">
      <c r="A49" s="6" t="inlineStr"/>
      <c r="B49" s="2" t="inlineStr">
        <is>
          <t>IB liability cost (%)</t>
        </is>
      </c>
      <c r="C49" s="11" t="inlineStr">
        <is>
          <t>FF_BK_INT_COST_INTB_AVG(QTR,{p})   (matched cost of funds in an earlier test)</t>
        </is>
      </c>
      <c r="D49" s="12" t="inlineStr">
        <is>
          <t>Verified</t>
        </is>
      </c>
      <c r="E49" s="18">
        <f>_xlfn.IFNA(FDS($C$3,"FF_BK_INT_COST_INTB_AVG(QTR,"&amp;E$5&amp;")"),"-")</f>
        <v/>
      </c>
      <c r="F49" s="18">
        <f>_xlfn.IFNA(FDS($C$3,"FF_BK_INT_COST_INTB_AVG(QTR,"&amp;F$5&amp;")"),"-")</f>
        <v/>
      </c>
      <c r="G49" s="18">
        <f>_xlfn.IFNA(FDS($C$3,"FF_BK_INT_COST_INTB_AVG(QTR,"&amp;G$5&amp;")"),"-")</f>
        <v/>
      </c>
      <c r="H49" s="18">
        <f>_xlfn.IFNA(FDS($C$3,"FF_BK_INT_COST_INTB_AVG(QTR,"&amp;H$5&amp;")"),"-")</f>
        <v/>
      </c>
      <c r="I49" s="18">
        <f>_xlfn.IFNA(FDS($C$3,"FF_BK_INT_COST_INTB_AVG(QTR,"&amp;I$5&amp;")"),"-")</f>
        <v/>
      </c>
      <c r="J49" s="18">
        <f>_xlfn.IFNA(FDS($C$3,"FF_BK_INT_COST_INTB_AVG(QTR,"&amp;J$5&amp;")"),"-")</f>
        <v/>
      </c>
      <c r="K49" s="18">
        <f>_xlfn.IFNA(FDS($C$3,"FF_BK_INT_COST_INTB_AVG(QTR,"&amp;K$5&amp;")"),"-")</f>
        <v/>
      </c>
      <c r="L49" s="18">
        <f>_xlfn.IFNA(FDS($C$3,"FF_BK_INT_COST_INTB_AVG(QTR,"&amp;L$5&amp;")"),"-")</f>
        <v/>
      </c>
    </row>
    <row r="50">
      <c r="A50" s="6" t="inlineStr"/>
      <c r="B50" s="2" t="inlineStr">
        <is>
          <t>Funding cost (%)</t>
        </is>
      </c>
      <c r="C50" s="11" t="inlineStr">
        <is>
          <t>FF_BK_COST(QTR_NINTB_LIABS,{p})   (matched cost of funds in an earlier test)</t>
        </is>
      </c>
      <c r="D50" s="12" t="inlineStr">
        <is>
          <t>Verified</t>
        </is>
      </c>
      <c r="E50" s="18">
        <f>_xlfn.IFNA(FDS($C$3,"FF_BK_COST(QTR_NINTB_LIABS,"&amp;E$5&amp;")"),"-")</f>
        <v/>
      </c>
      <c r="F50" s="18">
        <f>_xlfn.IFNA(FDS($C$3,"FF_BK_COST(QTR_NINTB_LIABS,"&amp;F$5&amp;")"),"-")</f>
        <v/>
      </c>
      <c r="G50" s="18">
        <f>_xlfn.IFNA(FDS($C$3,"FF_BK_COST(QTR_NINTB_LIABS,"&amp;G$5&amp;")"),"-")</f>
        <v/>
      </c>
      <c r="H50" s="18">
        <f>_xlfn.IFNA(FDS($C$3,"FF_BK_COST(QTR_NINTB_LIABS,"&amp;H$5&amp;")"),"-")</f>
        <v/>
      </c>
      <c r="I50" s="18">
        <f>_xlfn.IFNA(FDS($C$3,"FF_BK_COST(QTR_NINTB_LIABS,"&amp;I$5&amp;")"),"-")</f>
        <v/>
      </c>
      <c r="J50" s="18">
        <f>_xlfn.IFNA(FDS($C$3,"FF_BK_COST(QTR_NINTB_LIABS,"&amp;J$5&amp;")"),"-")</f>
        <v/>
      </c>
      <c r="K50" s="18">
        <f>_xlfn.IFNA(FDS($C$3,"FF_BK_COST(QTR_NINTB_LIABS,"&amp;K$5&amp;")"),"-")</f>
        <v/>
      </c>
      <c r="L50" s="18">
        <f>_xlfn.IFNA(FDS($C$3,"FF_BK_COST(QTR_NINTB_LIABS,"&amp;L$5&amp;")"),"-")</f>
        <v/>
      </c>
    </row>
    <row r="51">
      <c r="A51" s="6" t="inlineStr"/>
      <c r="B51" s="2" t="inlineStr">
        <is>
          <t>Net interest spread (%)</t>
        </is>
      </c>
      <c r="C51" s="11" t="inlineStr">
        <is>
          <t>FF_BK_INT_SPREAD(QTR,{p})</t>
        </is>
      </c>
      <c r="D51" s="12" t="inlineStr">
        <is>
          <t>Verified</t>
        </is>
      </c>
      <c r="E51" s="18">
        <f>_xlfn.IFNA(FDS($C$3,"FF_BK_INT_SPREAD(QTR,"&amp;E$5&amp;")"),"-")</f>
        <v/>
      </c>
      <c r="F51" s="18">
        <f>_xlfn.IFNA(FDS($C$3,"FF_BK_INT_SPREAD(QTR,"&amp;F$5&amp;")"),"-")</f>
        <v/>
      </c>
      <c r="G51" s="18">
        <f>_xlfn.IFNA(FDS($C$3,"FF_BK_INT_SPREAD(QTR,"&amp;G$5&amp;")"),"-")</f>
        <v/>
      </c>
      <c r="H51" s="18">
        <f>_xlfn.IFNA(FDS($C$3,"FF_BK_INT_SPREAD(QTR,"&amp;H$5&amp;")"),"-")</f>
        <v/>
      </c>
      <c r="I51" s="18">
        <f>_xlfn.IFNA(FDS($C$3,"FF_BK_INT_SPREAD(QTR,"&amp;I$5&amp;")"),"-")</f>
        <v/>
      </c>
      <c r="J51" s="18">
        <f>_xlfn.IFNA(FDS($C$3,"FF_BK_INT_SPREAD(QTR,"&amp;J$5&amp;")"),"-")</f>
        <v/>
      </c>
      <c r="K51" s="18">
        <f>_xlfn.IFNA(FDS($C$3,"FF_BK_INT_SPREAD(QTR,"&amp;K$5&amp;")"),"-")</f>
        <v/>
      </c>
      <c r="L51" s="18">
        <f>_xlfn.IFNA(FDS($C$3,"FF_BK_INT_SPREAD(QTR,"&amp;L$5&amp;")"),"-")</f>
        <v/>
      </c>
    </row>
    <row r="52">
      <c r="A52" s="6" t="inlineStr"/>
      <c r="B52" s="2" t="inlineStr">
        <is>
          <t>Tax-equivalent NIM (%)</t>
        </is>
      </c>
      <c r="C52" s="11" t="inlineStr">
        <is>
          <t>FF_BK_INT_MGN_TAX_EQV(QTR,{p})</t>
        </is>
      </c>
      <c r="D52" s="12" t="inlineStr">
        <is>
          <t>Verified</t>
        </is>
      </c>
      <c r="E52" s="18">
        <f>_xlfn.IFNA(FDS($C$3,"FF_BK_INT_MGN_TAX_EQV(QTR,"&amp;E$5&amp;")"),"-")</f>
        <v/>
      </c>
      <c r="F52" s="18">
        <f>_xlfn.IFNA(FDS($C$3,"FF_BK_INT_MGN_TAX_EQV(QTR,"&amp;F$5&amp;")"),"-")</f>
        <v/>
      </c>
      <c r="G52" s="18">
        <f>_xlfn.IFNA(FDS($C$3,"FF_BK_INT_MGN_TAX_EQV(QTR,"&amp;G$5&amp;")"),"-")</f>
        <v/>
      </c>
      <c r="H52" s="18">
        <f>_xlfn.IFNA(FDS($C$3,"FF_BK_INT_MGN_TAX_EQV(QTR,"&amp;H$5&amp;")"),"-")</f>
        <v/>
      </c>
      <c r="I52" s="18">
        <f>_xlfn.IFNA(FDS($C$3,"FF_BK_INT_MGN_TAX_EQV(QTR,"&amp;I$5&amp;")"),"-")</f>
        <v/>
      </c>
      <c r="J52" s="18">
        <f>_xlfn.IFNA(FDS($C$3,"FF_BK_INT_MGN_TAX_EQV(QTR,"&amp;J$5&amp;")"),"-")</f>
        <v/>
      </c>
      <c r="K52" s="18">
        <f>_xlfn.IFNA(FDS($C$3,"FF_BK_INT_MGN_TAX_EQV(QTR,"&amp;K$5&amp;")"),"-")</f>
        <v/>
      </c>
      <c r="L52" s="18">
        <f>_xlfn.IFNA(FDS($C$3,"FF_BK_INT_MGN_TAX_EQV(QTR,"&amp;L$5&amp;")"),"-")</f>
        <v/>
      </c>
    </row>
    <row r="53">
      <c r="A53" s="14" t="inlineStr">
        <is>
          <t>Balance sheet</t>
        </is>
      </c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</row>
    <row r="54">
      <c r="A54" s="6" t="inlineStr"/>
      <c r="B54" s="2" t="inlineStr">
        <is>
          <t>Total assets ($M)</t>
        </is>
      </c>
      <c r="C54" s="11" t="inlineStr">
        <is>
          <t>FF_ASSETS(QTR,{p})</t>
        </is>
      </c>
      <c r="D54" s="12" t="inlineStr">
        <is>
          <t>Verified</t>
        </is>
      </c>
      <c r="E54" s="17">
        <f>_xlfn.IFNA(FDS($C$3,"FF_ASSETS(QTR,"&amp;E$5&amp;")"),"-")</f>
        <v/>
      </c>
      <c r="F54" s="17">
        <f>_xlfn.IFNA(FDS($C$3,"FF_ASSETS(QTR,"&amp;F$5&amp;")"),"-")</f>
        <v/>
      </c>
      <c r="G54" s="17">
        <f>_xlfn.IFNA(FDS($C$3,"FF_ASSETS(QTR,"&amp;G$5&amp;")"),"-")</f>
        <v/>
      </c>
      <c r="H54" s="17">
        <f>_xlfn.IFNA(FDS($C$3,"FF_ASSETS(QTR,"&amp;H$5&amp;")"),"-")</f>
        <v/>
      </c>
      <c r="I54" s="17">
        <f>_xlfn.IFNA(FDS($C$3,"FF_ASSETS(QTR,"&amp;I$5&amp;")"),"-")</f>
        <v/>
      </c>
      <c r="J54" s="17">
        <f>_xlfn.IFNA(FDS($C$3,"FF_ASSETS(QTR,"&amp;J$5&amp;")"),"-")</f>
        <v/>
      </c>
      <c r="K54" s="17">
        <f>_xlfn.IFNA(FDS($C$3,"FF_ASSETS(QTR,"&amp;K$5&amp;")"),"-")</f>
        <v/>
      </c>
      <c r="L54" s="17">
        <f>_xlfn.IFNA(FDS($C$3,"FF_ASSETS(QTR,"&amp;L$5&amp;")"),"-")</f>
        <v/>
      </c>
    </row>
    <row r="55">
      <c r="A55" s="6" t="inlineStr"/>
      <c r="B55" s="2" t="inlineStr">
        <is>
          <t>Total liabilities ($M)</t>
        </is>
      </c>
      <c r="C55" s="11" t="inlineStr">
        <is>
          <t>FF_LIABS(QTR_R,{p})</t>
        </is>
      </c>
      <c r="D55" s="12" t="inlineStr">
        <is>
          <t>Verified</t>
        </is>
      </c>
      <c r="E55" s="17">
        <f>_xlfn.IFNA(FDS($C$3,"FF_LIABS(QTR_R,"&amp;E$5&amp;")"),"-")</f>
        <v/>
      </c>
      <c r="F55" s="17">
        <f>_xlfn.IFNA(FDS($C$3,"FF_LIABS(QTR_R,"&amp;F$5&amp;")"),"-")</f>
        <v/>
      </c>
      <c r="G55" s="17">
        <f>_xlfn.IFNA(FDS($C$3,"FF_LIABS(QTR_R,"&amp;G$5&amp;")"),"-")</f>
        <v/>
      </c>
      <c r="H55" s="17">
        <f>_xlfn.IFNA(FDS($C$3,"FF_LIABS(QTR_R,"&amp;H$5&amp;")"),"-")</f>
        <v/>
      </c>
      <c r="I55" s="17">
        <f>_xlfn.IFNA(FDS($C$3,"FF_LIABS(QTR_R,"&amp;I$5&amp;")"),"-")</f>
        <v/>
      </c>
      <c r="J55" s="17">
        <f>_xlfn.IFNA(FDS($C$3,"FF_LIABS(QTR_R,"&amp;J$5&amp;")"),"-")</f>
        <v/>
      </c>
      <c r="K55" s="17">
        <f>_xlfn.IFNA(FDS($C$3,"FF_LIABS(QTR_R,"&amp;K$5&amp;")"),"-")</f>
        <v/>
      </c>
      <c r="L55" s="17">
        <f>_xlfn.IFNA(FDS($C$3,"FF_LIABS(QTR_R,"&amp;L$5&amp;")"),"-")</f>
        <v/>
      </c>
    </row>
    <row r="56">
      <c r="A56" s="6" t="inlineStr"/>
      <c r="B56" s="2" t="inlineStr">
        <is>
          <t>Intangible assets ($M)</t>
        </is>
      </c>
      <c r="C56" s="11" t="inlineStr">
        <is>
          <t>FF_INTANG(QTR_R,{p})</t>
        </is>
      </c>
      <c r="D56" s="12" t="inlineStr">
        <is>
          <t>Verified</t>
        </is>
      </c>
      <c r="E56" s="17">
        <f>_xlfn.IFNA(FDS($C$3,"FF_INTANG(QTR_R,"&amp;E$5&amp;")"),"-")</f>
        <v/>
      </c>
      <c r="F56" s="17">
        <f>_xlfn.IFNA(FDS($C$3,"FF_INTANG(QTR_R,"&amp;F$5&amp;")"),"-")</f>
        <v/>
      </c>
      <c r="G56" s="17">
        <f>_xlfn.IFNA(FDS($C$3,"FF_INTANG(QTR_R,"&amp;G$5&amp;")"),"-")</f>
        <v/>
      </c>
      <c r="H56" s="17">
        <f>_xlfn.IFNA(FDS($C$3,"FF_INTANG(QTR_R,"&amp;H$5&amp;")"),"-")</f>
        <v/>
      </c>
      <c r="I56" s="17">
        <f>_xlfn.IFNA(FDS($C$3,"FF_INTANG(QTR_R,"&amp;I$5&amp;")"),"-")</f>
        <v/>
      </c>
      <c r="J56" s="17">
        <f>_xlfn.IFNA(FDS($C$3,"FF_INTANG(QTR_R,"&amp;J$5&amp;")"),"-")</f>
        <v/>
      </c>
      <c r="K56" s="17">
        <f>_xlfn.IFNA(FDS($C$3,"FF_INTANG(QTR_R,"&amp;K$5&amp;")"),"-")</f>
        <v/>
      </c>
      <c r="L56" s="17">
        <f>_xlfn.IFNA(FDS($C$3,"FF_INTANG(QTR_R,"&amp;L$5&amp;")"),"-")</f>
        <v/>
      </c>
    </row>
    <row r="57">
      <c r="A57" s="6" t="inlineStr"/>
      <c r="B57" s="2" t="inlineStr">
        <is>
          <t>Average assets ($M)</t>
        </is>
      </c>
      <c r="C57" s="11" t="inlineStr">
        <is>
          <t>FF_BK_AVG_ASSETS(QTR,{p})</t>
        </is>
      </c>
      <c r="D57" s="12" t="inlineStr">
        <is>
          <t>Verified</t>
        </is>
      </c>
      <c r="E57" s="17">
        <f>_xlfn.IFNA(FDS($C$3,"FF_BK_AVG_ASSETS(QTR,"&amp;E$5&amp;")"),"-")</f>
        <v/>
      </c>
      <c r="F57" s="17">
        <f>_xlfn.IFNA(FDS($C$3,"FF_BK_AVG_ASSETS(QTR,"&amp;F$5&amp;")"),"-")</f>
        <v/>
      </c>
      <c r="G57" s="17">
        <f>_xlfn.IFNA(FDS($C$3,"FF_BK_AVG_ASSETS(QTR,"&amp;G$5&amp;")"),"-")</f>
        <v/>
      </c>
      <c r="H57" s="17">
        <f>_xlfn.IFNA(FDS($C$3,"FF_BK_AVG_ASSETS(QTR,"&amp;H$5&amp;")"),"-")</f>
        <v/>
      </c>
      <c r="I57" s="17">
        <f>_xlfn.IFNA(FDS($C$3,"FF_BK_AVG_ASSETS(QTR,"&amp;I$5&amp;")"),"-")</f>
        <v/>
      </c>
      <c r="J57" s="17">
        <f>_xlfn.IFNA(FDS($C$3,"FF_BK_AVG_ASSETS(QTR,"&amp;J$5&amp;")"),"-")</f>
        <v/>
      </c>
      <c r="K57" s="17">
        <f>_xlfn.IFNA(FDS($C$3,"FF_BK_AVG_ASSETS(QTR,"&amp;K$5&amp;")"),"-")</f>
        <v/>
      </c>
      <c r="L57" s="17">
        <f>_xlfn.IFNA(FDS($C$3,"FF_BK_AVG_ASSETS(QTR,"&amp;L$5&amp;")"),"-")</f>
        <v/>
      </c>
    </row>
    <row r="58">
      <c r="A58" s="6" t="inlineStr"/>
      <c r="B58" s="2" t="inlineStr">
        <is>
          <t>Avg earning assets ($M)</t>
        </is>
      </c>
      <c r="C58" s="11" t="inlineStr">
        <is>
          <t>FF_BK_AVG_ASSETS(QTR_INTE,{p})   (an average, not EOP)</t>
        </is>
      </c>
      <c r="D58" s="12" t="inlineStr">
        <is>
          <t>Verified</t>
        </is>
      </c>
      <c r="E58" s="17">
        <f>_xlfn.IFNA(FDS($C$3,"FF_BK_AVG_ASSETS(QTR_INTE,"&amp;E$5&amp;")"),"-")</f>
        <v/>
      </c>
      <c r="F58" s="17">
        <f>_xlfn.IFNA(FDS($C$3,"FF_BK_AVG_ASSETS(QTR_INTE,"&amp;F$5&amp;")"),"-")</f>
        <v/>
      </c>
      <c r="G58" s="17">
        <f>_xlfn.IFNA(FDS($C$3,"FF_BK_AVG_ASSETS(QTR_INTE,"&amp;G$5&amp;")"),"-")</f>
        <v/>
      </c>
      <c r="H58" s="17">
        <f>_xlfn.IFNA(FDS($C$3,"FF_BK_AVG_ASSETS(QTR_INTE,"&amp;H$5&amp;")"),"-")</f>
        <v/>
      </c>
      <c r="I58" s="17">
        <f>_xlfn.IFNA(FDS($C$3,"FF_BK_AVG_ASSETS(QTR_INTE,"&amp;I$5&amp;")"),"-")</f>
        <v/>
      </c>
      <c r="J58" s="17">
        <f>_xlfn.IFNA(FDS($C$3,"FF_BK_AVG_ASSETS(QTR_INTE,"&amp;J$5&amp;")"),"-")</f>
        <v/>
      </c>
      <c r="K58" s="17">
        <f>_xlfn.IFNA(FDS($C$3,"FF_BK_AVG_ASSETS(QTR_INTE,"&amp;K$5&amp;")"),"-")</f>
        <v/>
      </c>
      <c r="L58" s="17">
        <f>_xlfn.IFNA(FDS($C$3,"FF_BK_AVG_ASSETS(QTR_INTE,"&amp;L$5&amp;")"),"-")</f>
        <v/>
      </c>
    </row>
    <row r="59">
      <c r="A59" s="6" t="inlineStr"/>
      <c r="B59" s="2" t="inlineStr">
        <is>
          <t>Total loans ($M)</t>
        </is>
      </c>
      <c r="C59" s="11" t="inlineStr">
        <is>
          <t>FF_BK_LOAN_TOT(QTR,{p})</t>
        </is>
      </c>
      <c r="D59" s="12" t="inlineStr">
        <is>
          <t>Verified</t>
        </is>
      </c>
      <c r="E59" s="17">
        <f>_xlfn.IFNA(FDS($C$3,"FF_BK_LOAN_TOT(QTR,"&amp;E$5&amp;")"),"-")</f>
        <v/>
      </c>
      <c r="F59" s="17">
        <f>_xlfn.IFNA(FDS($C$3,"FF_BK_LOAN_TOT(QTR,"&amp;F$5&amp;")"),"-")</f>
        <v/>
      </c>
      <c r="G59" s="17">
        <f>_xlfn.IFNA(FDS($C$3,"FF_BK_LOAN_TOT(QTR,"&amp;G$5&amp;")"),"-")</f>
        <v/>
      </c>
      <c r="H59" s="17">
        <f>_xlfn.IFNA(FDS($C$3,"FF_BK_LOAN_TOT(QTR,"&amp;H$5&amp;")"),"-")</f>
        <v/>
      </c>
      <c r="I59" s="17">
        <f>_xlfn.IFNA(FDS($C$3,"FF_BK_LOAN_TOT(QTR,"&amp;I$5&amp;")"),"-")</f>
        <v/>
      </c>
      <c r="J59" s="17">
        <f>_xlfn.IFNA(FDS($C$3,"FF_BK_LOAN_TOT(QTR,"&amp;J$5&amp;")"),"-")</f>
        <v/>
      </c>
      <c r="K59" s="17">
        <f>_xlfn.IFNA(FDS($C$3,"FF_BK_LOAN_TOT(QTR,"&amp;K$5&amp;")"),"-")</f>
        <v/>
      </c>
      <c r="L59" s="17">
        <f>_xlfn.IFNA(FDS($C$3,"FF_BK_LOAN_TOT(QTR,"&amp;L$5&amp;")"),"-")</f>
        <v/>
      </c>
    </row>
    <row r="60">
      <c r="A60" s="6" t="inlineStr"/>
      <c r="B60" s="2" t="inlineStr">
        <is>
          <t>Total deposits ($M)</t>
        </is>
      </c>
      <c r="C60" s="11" t="inlineStr">
        <is>
          <t>FF_DEPS(QTR,{p})</t>
        </is>
      </c>
      <c r="D60" s="12" t="inlineStr">
        <is>
          <t>Verified</t>
        </is>
      </c>
      <c r="E60" s="17">
        <f>_xlfn.IFNA(FDS($C$3,"FF_DEPS(QTR,"&amp;E$5&amp;")"),"-")</f>
        <v/>
      </c>
      <c r="F60" s="17">
        <f>_xlfn.IFNA(FDS($C$3,"FF_DEPS(QTR,"&amp;F$5&amp;")"),"-")</f>
        <v/>
      </c>
      <c r="G60" s="17">
        <f>_xlfn.IFNA(FDS($C$3,"FF_DEPS(QTR,"&amp;G$5&amp;")"),"-")</f>
        <v/>
      </c>
      <c r="H60" s="17">
        <f>_xlfn.IFNA(FDS($C$3,"FF_DEPS(QTR,"&amp;H$5&amp;")"),"-")</f>
        <v/>
      </c>
      <c r="I60" s="17">
        <f>_xlfn.IFNA(FDS($C$3,"FF_DEPS(QTR,"&amp;I$5&amp;")"),"-")</f>
        <v/>
      </c>
      <c r="J60" s="17">
        <f>_xlfn.IFNA(FDS($C$3,"FF_DEPS(QTR,"&amp;J$5&amp;")"),"-")</f>
        <v/>
      </c>
      <c r="K60" s="17">
        <f>_xlfn.IFNA(FDS($C$3,"FF_DEPS(QTR,"&amp;K$5&amp;")"),"-")</f>
        <v/>
      </c>
      <c r="L60" s="17">
        <f>_xlfn.IFNA(FDS($C$3,"FF_DEPS(QTR,"&amp;L$5&amp;")"),"-")</f>
        <v/>
      </c>
    </row>
    <row r="61">
      <c r="A61" s="6" t="inlineStr"/>
      <c r="B61" s="2" t="inlineStr">
        <is>
          <t>Interest-bearing deposits ($M)</t>
        </is>
      </c>
      <c r="C61" s="11" t="inlineStr">
        <is>
          <t>FF_DEPS_INTB(QTR,{p})</t>
        </is>
      </c>
      <c r="D61" s="12" t="inlineStr">
        <is>
          <t>Verified</t>
        </is>
      </c>
      <c r="E61" s="17">
        <f>_xlfn.IFNA(FDS($C$3,"FF_DEPS_INTB(QTR,"&amp;E$5&amp;")"),"-")</f>
        <v/>
      </c>
      <c r="F61" s="17">
        <f>_xlfn.IFNA(FDS($C$3,"FF_DEPS_INTB(QTR,"&amp;F$5&amp;")"),"-")</f>
        <v/>
      </c>
      <c r="G61" s="17">
        <f>_xlfn.IFNA(FDS($C$3,"FF_DEPS_INTB(QTR,"&amp;G$5&amp;")"),"-")</f>
        <v/>
      </c>
      <c r="H61" s="17">
        <f>_xlfn.IFNA(FDS($C$3,"FF_DEPS_INTB(QTR,"&amp;H$5&amp;")"),"-")</f>
        <v/>
      </c>
      <c r="I61" s="17">
        <f>_xlfn.IFNA(FDS($C$3,"FF_DEPS_INTB(QTR,"&amp;I$5&amp;")"),"-")</f>
        <v/>
      </c>
      <c r="J61" s="17">
        <f>_xlfn.IFNA(FDS($C$3,"FF_DEPS_INTB(QTR,"&amp;J$5&amp;")"),"-")</f>
        <v/>
      </c>
      <c r="K61" s="17">
        <f>_xlfn.IFNA(FDS($C$3,"FF_DEPS_INTB(QTR,"&amp;K$5&amp;")"),"-")</f>
        <v/>
      </c>
      <c r="L61" s="17">
        <f>_xlfn.IFNA(FDS($C$3,"FF_DEPS_INTB(QTR,"&amp;L$5&amp;")"),"-")</f>
        <v/>
      </c>
    </row>
    <row r="62">
      <c r="A62" s="6" t="inlineStr"/>
      <c r="B62" s="2" t="inlineStr">
        <is>
          <t>Non-interest-bearing deposits ($M)</t>
        </is>
      </c>
      <c r="C62" s="11" t="inlineStr">
        <is>
          <t>FF_DEPS_NINTB(QTR,{p})</t>
        </is>
      </c>
      <c r="D62" s="12" t="inlineStr">
        <is>
          <t>Verified</t>
        </is>
      </c>
      <c r="E62" s="17">
        <f>_xlfn.IFNA(FDS($C$3,"FF_DEPS_NINTB(QTR,"&amp;E$5&amp;")"),"-")</f>
        <v/>
      </c>
      <c r="F62" s="17">
        <f>_xlfn.IFNA(FDS($C$3,"FF_DEPS_NINTB(QTR,"&amp;F$5&amp;")"),"-")</f>
        <v/>
      </c>
      <c r="G62" s="17">
        <f>_xlfn.IFNA(FDS($C$3,"FF_DEPS_NINTB(QTR,"&amp;G$5&amp;")"),"-")</f>
        <v/>
      </c>
      <c r="H62" s="17">
        <f>_xlfn.IFNA(FDS($C$3,"FF_DEPS_NINTB(QTR,"&amp;H$5&amp;")"),"-")</f>
        <v/>
      </c>
      <c r="I62" s="17">
        <f>_xlfn.IFNA(FDS($C$3,"FF_DEPS_NINTB(QTR,"&amp;I$5&amp;")"),"-")</f>
        <v/>
      </c>
      <c r="J62" s="17">
        <f>_xlfn.IFNA(FDS($C$3,"FF_DEPS_NINTB(QTR,"&amp;J$5&amp;")"),"-")</f>
        <v/>
      </c>
      <c r="K62" s="17">
        <f>_xlfn.IFNA(FDS($C$3,"FF_DEPS_NINTB(QTR,"&amp;K$5&amp;")"),"-")</f>
        <v/>
      </c>
      <c r="L62" s="17">
        <f>_xlfn.IFNA(FDS($C$3,"FF_DEPS_NINTB(QTR,"&amp;L$5&amp;")"),"-")</f>
        <v/>
      </c>
    </row>
    <row r="63">
      <c r="A63" s="6" t="inlineStr"/>
      <c r="B63" s="2" t="inlineStr">
        <is>
          <t>Loans / deposits (%)</t>
        </is>
      </c>
      <c r="C63" s="11" t="inlineStr">
        <is>
          <t>cell math: loans / deposits x100</t>
        </is>
      </c>
      <c r="D63" s="6" t="inlineStr">
        <is>
          <t>Cell math</t>
        </is>
      </c>
      <c r="E63" s="18">
        <f>IFERROR((E59/E60)*100,"-")</f>
        <v/>
      </c>
      <c r="F63" s="18">
        <f>IFERROR((F59/F60)*100,"-")</f>
        <v/>
      </c>
      <c r="G63" s="18">
        <f>IFERROR((G59/G60)*100,"-")</f>
        <v/>
      </c>
      <c r="H63" s="18">
        <f>IFERROR((H59/H60)*100,"-")</f>
        <v/>
      </c>
      <c r="I63" s="18">
        <f>IFERROR((I59/I60)*100,"-")</f>
        <v/>
      </c>
      <c r="J63" s="18">
        <f>IFERROR((J59/J60)*100,"-")</f>
        <v/>
      </c>
      <c r="K63" s="18">
        <f>IFERROR((K59/K60)*100,"-")</f>
        <v/>
      </c>
      <c r="L63" s="18">
        <f>IFERROR((L59/L60)*100,"-")</f>
        <v/>
      </c>
    </row>
    <row r="64">
      <c r="A64" s="6" t="inlineStr"/>
      <c r="B64" s="2" t="inlineStr">
        <is>
          <t>Tangible common equity ($M)</t>
        </is>
      </c>
      <c r="C64" s="11" t="inlineStr">
        <is>
          <t>FF_COM_EQ_TANG(QTR,{p})</t>
        </is>
      </c>
      <c r="D64" s="12" t="inlineStr">
        <is>
          <t>Verified</t>
        </is>
      </c>
      <c r="E64" s="17">
        <f>_xlfn.IFNA(FDS($C$3,"FF_COM_EQ_TANG(QTR,"&amp;E$5&amp;")"),"-")</f>
        <v/>
      </c>
      <c r="F64" s="17">
        <f>_xlfn.IFNA(FDS($C$3,"FF_COM_EQ_TANG(QTR,"&amp;F$5&amp;")"),"-")</f>
        <v/>
      </c>
      <c r="G64" s="17">
        <f>_xlfn.IFNA(FDS($C$3,"FF_COM_EQ_TANG(QTR,"&amp;G$5&amp;")"),"-")</f>
        <v/>
      </c>
      <c r="H64" s="17">
        <f>_xlfn.IFNA(FDS($C$3,"FF_COM_EQ_TANG(QTR,"&amp;H$5&amp;")"),"-")</f>
        <v/>
      </c>
      <c r="I64" s="17">
        <f>_xlfn.IFNA(FDS($C$3,"FF_COM_EQ_TANG(QTR,"&amp;I$5&amp;")"),"-")</f>
        <v/>
      </c>
      <c r="J64" s="17">
        <f>_xlfn.IFNA(FDS($C$3,"FF_COM_EQ_TANG(QTR,"&amp;J$5&amp;")"),"-")</f>
        <v/>
      </c>
      <c r="K64" s="17">
        <f>_xlfn.IFNA(FDS($C$3,"FF_COM_EQ_TANG(QTR,"&amp;K$5&amp;")"),"-")</f>
        <v/>
      </c>
      <c r="L64" s="17">
        <f>_xlfn.IFNA(FDS($C$3,"FF_COM_EQ_TANG(QTR,"&amp;L$5&amp;")"),"-")</f>
        <v/>
      </c>
    </row>
    <row r="65">
      <c r="A65" s="6" t="inlineStr"/>
      <c r="B65" s="2" t="inlineStr">
        <is>
          <t>Avg tangible common equity ($M)</t>
        </is>
      </c>
      <c r="C65" s="11" t="inlineStr">
        <is>
          <t>FF_BK_SUPPL_AVG(QTR_TCE,{p})</t>
        </is>
      </c>
      <c r="D65" s="12" t="inlineStr">
        <is>
          <t>Verified</t>
        </is>
      </c>
      <c r="E65" s="17">
        <f>_xlfn.IFNA(FDS($C$3,"FF_BK_SUPPL_AVG(QTR_TCE,"&amp;E$5&amp;")"),"-")</f>
        <v/>
      </c>
      <c r="F65" s="17">
        <f>_xlfn.IFNA(FDS($C$3,"FF_BK_SUPPL_AVG(QTR_TCE,"&amp;F$5&amp;")"),"-")</f>
        <v/>
      </c>
      <c r="G65" s="17">
        <f>_xlfn.IFNA(FDS($C$3,"FF_BK_SUPPL_AVG(QTR_TCE,"&amp;G$5&amp;")"),"-")</f>
        <v/>
      </c>
      <c r="H65" s="17">
        <f>_xlfn.IFNA(FDS($C$3,"FF_BK_SUPPL_AVG(QTR_TCE,"&amp;H$5&amp;")"),"-")</f>
        <v/>
      </c>
      <c r="I65" s="17">
        <f>_xlfn.IFNA(FDS($C$3,"FF_BK_SUPPL_AVG(QTR_TCE,"&amp;I$5&amp;")"),"-")</f>
        <v/>
      </c>
      <c r="J65" s="17">
        <f>_xlfn.IFNA(FDS($C$3,"FF_BK_SUPPL_AVG(QTR_TCE,"&amp;J$5&amp;")"),"-")</f>
        <v/>
      </c>
      <c r="K65" s="17">
        <f>_xlfn.IFNA(FDS($C$3,"FF_BK_SUPPL_AVG(QTR_TCE,"&amp;K$5&amp;")"),"-")</f>
        <v/>
      </c>
      <c r="L65" s="17">
        <f>_xlfn.IFNA(FDS($C$3,"FF_BK_SUPPL_AVG(QTR_TCE,"&amp;L$5&amp;")"),"-")</f>
        <v/>
      </c>
    </row>
    <row r="66">
      <c r="A66" s="6" t="inlineStr"/>
      <c r="B66" s="2" t="inlineStr">
        <is>
          <t>TBVPS ($)</t>
        </is>
      </c>
      <c r="C66" s="11" t="inlineStr">
        <is>
          <t>FF_BPS_TANG(QTR,{p})</t>
        </is>
      </c>
      <c r="D66" s="12" t="inlineStr">
        <is>
          <t>Verified</t>
        </is>
      </c>
      <c r="E66" s="19">
        <f>_xlfn.IFNA(FDS($C$3,"FF_BPS_TANG(QTR,"&amp;E$5&amp;")"),"-")</f>
        <v/>
      </c>
      <c r="F66" s="19">
        <f>_xlfn.IFNA(FDS($C$3,"FF_BPS_TANG(QTR,"&amp;F$5&amp;")"),"-")</f>
        <v/>
      </c>
      <c r="G66" s="19">
        <f>_xlfn.IFNA(FDS($C$3,"FF_BPS_TANG(QTR,"&amp;G$5&amp;")"),"-")</f>
        <v/>
      </c>
      <c r="H66" s="19">
        <f>_xlfn.IFNA(FDS($C$3,"FF_BPS_TANG(QTR,"&amp;H$5&amp;")"),"-")</f>
        <v/>
      </c>
      <c r="I66" s="19">
        <f>_xlfn.IFNA(FDS($C$3,"FF_BPS_TANG(QTR,"&amp;I$5&amp;")"),"-")</f>
        <v/>
      </c>
      <c r="J66" s="19">
        <f>_xlfn.IFNA(FDS($C$3,"FF_BPS_TANG(QTR,"&amp;J$5&amp;")"),"-")</f>
        <v/>
      </c>
      <c r="K66" s="19">
        <f>_xlfn.IFNA(FDS($C$3,"FF_BPS_TANG(QTR,"&amp;K$5&amp;")"),"-")</f>
        <v/>
      </c>
      <c r="L66" s="19">
        <f>_xlfn.IFNA(FDS($C$3,"FF_BPS_TANG(QTR,"&amp;L$5&amp;")"),"-")</f>
        <v/>
      </c>
    </row>
    <row r="67">
      <c r="A67" s="14" t="inlineStr">
        <is>
          <t>Credit</t>
        </is>
      </c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</row>
    <row r="68">
      <c r="A68" s="6" t="inlineStr"/>
      <c r="B68" s="2" t="inlineStr">
        <is>
          <t>NCO ratio (%, annualized)</t>
        </is>
      </c>
      <c r="C68" s="11" t="inlineStr">
        <is>
          <t>FF_CHARGE_OFFS_LOANS_PCT(QTR_R,{p})  x4   (quarterly rate, x4)</t>
        </is>
      </c>
      <c r="D68" s="12" t="inlineStr">
        <is>
          <t>Verified</t>
        </is>
      </c>
      <c r="E68" s="18">
        <f>_xlfn.IFNA(FDS($C$3,"FF_CHARGE_OFFS_LOANS_PCT(QTR_R,"&amp;E$5&amp;")")*4,"-")</f>
        <v/>
      </c>
      <c r="F68" s="18">
        <f>_xlfn.IFNA(FDS($C$3,"FF_CHARGE_OFFS_LOANS_PCT(QTR_R,"&amp;F$5&amp;")")*4,"-")</f>
        <v/>
      </c>
      <c r="G68" s="18">
        <f>_xlfn.IFNA(FDS($C$3,"FF_CHARGE_OFFS_LOANS_PCT(QTR_R,"&amp;G$5&amp;")")*4,"-")</f>
        <v/>
      </c>
      <c r="H68" s="18">
        <f>_xlfn.IFNA(FDS($C$3,"FF_CHARGE_OFFS_LOANS_PCT(QTR_R,"&amp;H$5&amp;")")*4,"-")</f>
        <v/>
      </c>
      <c r="I68" s="18">
        <f>_xlfn.IFNA(FDS($C$3,"FF_CHARGE_OFFS_LOANS_PCT(QTR_R,"&amp;I$5&amp;")")*4,"-")</f>
        <v/>
      </c>
      <c r="J68" s="18">
        <f>_xlfn.IFNA(FDS($C$3,"FF_CHARGE_OFFS_LOANS_PCT(QTR_R,"&amp;J$5&amp;")")*4,"-")</f>
        <v/>
      </c>
      <c r="K68" s="18">
        <f>_xlfn.IFNA(FDS($C$3,"FF_CHARGE_OFFS_LOANS_PCT(QTR_R,"&amp;K$5&amp;")")*4,"-")</f>
        <v/>
      </c>
      <c r="L68" s="18">
        <f>_xlfn.IFNA(FDS($C$3,"FF_CHARGE_OFFS_LOANS_PCT(QTR_R,"&amp;L$5&amp;")")*4,"-")</f>
        <v/>
      </c>
    </row>
    <row r="69">
      <c r="A69" s="6" t="inlineStr"/>
      <c r="B69" s="2" t="inlineStr">
        <is>
          <t>NPL ratio (%)</t>
        </is>
      </c>
      <c r="C69" s="11" t="inlineStr">
        <is>
          <t>FF_NONPERF_LOAN_PCT(QTR_R,{p})</t>
        </is>
      </c>
      <c r="D69" s="12" t="inlineStr">
        <is>
          <t>Verified</t>
        </is>
      </c>
      <c r="E69" s="18">
        <f>_xlfn.IFNA(FDS($C$3,"FF_NONPERF_LOAN_PCT(QTR_R,"&amp;E$5&amp;")"),"-")</f>
        <v/>
      </c>
      <c r="F69" s="18">
        <f>_xlfn.IFNA(FDS($C$3,"FF_NONPERF_LOAN_PCT(QTR_R,"&amp;F$5&amp;")"),"-")</f>
        <v/>
      </c>
      <c r="G69" s="18">
        <f>_xlfn.IFNA(FDS($C$3,"FF_NONPERF_LOAN_PCT(QTR_R,"&amp;G$5&amp;")"),"-")</f>
        <v/>
      </c>
      <c r="H69" s="18">
        <f>_xlfn.IFNA(FDS($C$3,"FF_NONPERF_LOAN_PCT(QTR_R,"&amp;H$5&amp;")"),"-")</f>
        <v/>
      </c>
      <c r="I69" s="18">
        <f>_xlfn.IFNA(FDS($C$3,"FF_NONPERF_LOAN_PCT(QTR_R,"&amp;I$5&amp;")"),"-")</f>
        <v/>
      </c>
      <c r="J69" s="18">
        <f>_xlfn.IFNA(FDS($C$3,"FF_NONPERF_LOAN_PCT(QTR_R,"&amp;J$5&amp;")"),"-")</f>
        <v/>
      </c>
      <c r="K69" s="18">
        <f>_xlfn.IFNA(FDS($C$3,"FF_NONPERF_LOAN_PCT(QTR_R,"&amp;K$5&amp;")"),"-")</f>
        <v/>
      </c>
      <c r="L69" s="18">
        <f>_xlfn.IFNA(FDS($C$3,"FF_NONPERF_LOAN_PCT(QTR_R,"&amp;L$5&amp;")"),"-")</f>
        <v/>
      </c>
    </row>
    <row r="70">
      <c r="A70" s="6" t="inlineStr"/>
      <c r="B70" s="2" t="inlineStr">
        <is>
          <t>NPA / assets (%)</t>
        </is>
      </c>
      <c r="C70" s="11" t="inlineStr">
        <is>
          <t>FF_NPA_ASSETS_PCT(QTR,{p})</t>
        </is>
      </c>
      <c r="D70" s="12" t="inlineStr">
        <is>
          <t>Verified</t>
        </is>
      </c>
      <c r="E70" s="18">
        <f>_xlfn.IFNA(FDS($C$3,"FF_NPA_ASSETS_PCT(QTR,"&amp;E$5&amp;")"),"-")</f>
        <v/>
      </c>
      <c r="F70" s="18">
        <f>_xlfn.IFNA(FDS($C$3,"FF_NPA_ASSETS_PCT(QTR,"&amp;F$5&amp;")"),"-")</f>
        <v/>
      </c>
      <c r="G70" s="18">
        <f>_xlfn.IFNA(FDS($C$3,"FF_NPA_ASSETS_PCT(QTR,"&amp;G$5&amp;")"),"-")</f>
        <v/>
      </c>
      <c r="H70" s="18">
        <f>_xlfn.IFNA(FDS($C$3,"FF_NPA_ASSETS_PCT(QTR,"&amp;H$5&amp;")"),"-")</f>
        <v/>
      </c>
      <c r="I70" s="18">
        <f>_xlfn.IFNA(FDS($C$3,"FF_NPA_ASSETS_PCT(QTR,"&amp;I$5&amp;")"),"-")</f>
        <v/>
      </c>
      <c r="J70" s="18">
        <f>_xlfn.IFNA(FDS($C$3,"FF_NPA_ASSETS_PCT(QTR,"&amp;J$5&amp;")"),"-")</f>
        <v/>
      </c>
      <c r="K70" s="18">
        <f>_xlfn.IFNA(FDS($C$3,"FF_NPA_ASSETS_PCT(QTR,"&amp;K$5&amp;")"),"-")</f>
        <v/>
      </c>
      <c r="L70" s="18">
        <f>_xlfn.IFNA(FDS($C$3,"FF_NPA_ASSETS_PCT(QTR,"&amp;L$5&amp;")"),"-")</f>
        <v/>
      </c>
    </row>
    <row r="71">
      <c r="A71" s="14" t="inlineStr">
        <is>
          <t>Capital</t>
        </is>
      </c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</row>
    <row r="72">
      <c r="A72" s="6" t="inlineStr"/>
      <c r="B72" s="2" t="inlineStr">
        <is>
          <t>CET1 ratio (%)</t>
        </is>
      </c>
      <c r="C72" s="11" t="inlineStr">
        <is>
          <t>FF_BK_COM_EQ_TIER1_RATIO(QTR,{p})</t>
        </is>
      </c>
      <c r="D72" s="12" t="inlineStr">
        <is>
          <t>Verified</t>
        </is>
      </c>
      <c r="E72" s="18">
        <f>_xlfn.IFNA(FDS($C$3,"FF_BK_COM_EQ_TIER1_RATIO(QTR,"&amp;E$5&amp;")"),"-")</f>
        <v/>
      </c>
      <c r="F72" s="18">
        <f>_xlfn.IFNA(FDS($C$3,"FF_BK_COM_EQ_TIER1_RATIO(QTR,"&amp;F$5&amp;")"),"-")</f>
        <v/>
      </c>
      <c r="G72" s="18">
        <f>_xlfn.IFNA(FDS($C$3,"FF_BK_COM_EQ_TIER1_RATIO(QTR,"&amp;G$5&amp;")"),"-")</f>
        <v/>
      </c>
      <c r="H72" s="18">
        <f>_xlfn.IFNA(FDS($C$3,"FF_BK_COM_EQ_TIER1_RATIO(QTR,"&amp;H$5&amp;")"),"-")</f>
        <v/>
      </c>
      <c r="I72" s="18">
        <f>_xlfn.IFNA(FDS($C$3,"FF_BK_COM_EQ_TIER1_RATIO(QTR,"&amp;I$5&amp;")"),"-")</f>
        <v/>
      </c>
      <c r="J72" s="18">
        <f>_xlfn.IFNA(FDS($C$3,"FF_BK_COM_EQ_TIER1_RATIO(QTR,"&amp;J$5&amp;")"),"-")</f>
        <v/>
      </c>
      <c r="K72" s="18">
        <f>_xlfn.IFNA(FDS($C$3,"FF_BK_COM_EQ_TIER1_RATIO(QTR,"&amp;K$5&amp;")"),"-")</f>
        <v/>
      </c>
      <c r="L72" s="18">
        <f>_xlfn.IFNA(FDS($C$3,"FF_BK_COM_EQ_TIER1_RATIO(QTR,"&amp;L$5&amp;")"),"-")</f>
        <v/>
      </c>
    </row>
    <row r="73">
      <c r="A73" s="6" t="inlineStr"/>
      <c r="B73" s="2" t="inlineStr">
        <is>
          <t>Risk-weighted assets ($M)</t>
        </is>
      </c>
      <c r="C73" s="11" t="inlineStr">
        <is>
          <t>FF_ASSETS_RISK_WGHT(QTR,{p})</t>
        </is>
      </c>
      <c r="D73" s="12" t="inlineStr">
        <is>
          <t>Verified</t>
        </is>
      </c>
      <c r="E73" s="17">
        <f>_xlfn.IFNA(FDS($C$3,"FF_ASSETS_RISK_WGHT(QTR,"&amp;E$5&amp;")"),"-")</f>
        <v/>
      </c>
      <c r="F73" s="17">
        <f>_xlfn.IFNA(FDS($C$3,"FF_ASSETS_RISK_WGHT(QTR,"&amp;F$5&amp;")"),"-")</f>
        <v/>
      </c>
      <c r="G73" s="17">
        <f>_xlfn.IFNA(FDS($C$3,"FF_ASSETS_RISK_WGHT(QTR,"&amp;G$5&amp;")"),"-")</f>
        <v/>
      </c>
      <c r="H73" s="17">
        <f>_xlfn.IFNA(FDS($C$3,"FF_ASSETS_RISK_WGHT(QTR,"&amp;H$5&amp;")"),"-")</f>
        <v/>
      </c>
      <c r="I73" s="17">
        <f>_xlfn.IFNA(FDS($C$3,"FF_ASSETS_RISK_WGHT(QTR,"&amp;I$5&amp;")"),"-")</f>
        <v/>
      </c>
      <c r="J73" s="17">
        <f>_xlfn.IFNA(FDS($C$3,"FF_ASSETS_RISK_WGHT(QTR,"&amp;J$5&amp;")"),"-")</f>
        <v/>
      </c>
      <c r="K73" s="17">
        <f>_xlfn.IFNA(FDS($C$3,"FF_ASSETS_RISK_WGHT(QTR,"&amp;K$5&amp;")"),"-")</f>
        <v/>
      </c>
      <c r="L73" s="17">
        <f>_xlfn.IFNA(FDS($C$3,"FF_ASSETS_RISK_WGHT(QTR,"&amp;L$5&amp;")"),"-")</f>
        <v/>
      </c>
    </row>
    <row r="74">
      <c r="A74" s="14" t="inlineStr">
        <is>
          <t>Franchise</t>
        </is>
      </c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</row>
    <row r="75">
      <c r="A75" s="6" t="inlineStr"/>
      <c r="B75" s="2" t="inlineStr">
        <is>
          <t>Branch count</t>
        </is>
      </c>
      <c r="C75" s="11" t="inlineStr">
        <is>
          <t>FB_DOM_OFFCE_NUM(QTR,{p})</t>
        </is>
      </c>
      <c r="D75" s="12" t="inlineStr">
        <is>
          <t>Verified</t>
        </is>
      </c>
      <c r="E75" s="21">
        <f>_xlfn.IFNA(FDS($C$3,"FB_DOM_OFFCE_NUM(QTR,"&amp;E$5&amp;")"),"-")</f>
        <v/>
      </c>
      <c r="F75" s="21">
        <f>_xlfn.IFNA(FDS($C$3,"FB_DOM_OFFCE_NUM(QTR,"&amp;F$5&amp;")"),"-")</f>
        <v/>
      </c>
      <c r="G75" s="21">
        <f>_xlfn.IFNA(FDS($C$3,"FB_DOM_OFFCE_NUM(QTR,"&amp;G$5&amp;")"),"-")</f>
        <v/>
      </c>
      <c r="H75" s="21">
        <f>_xlfn.IFNA(FDS($C$3,"FB_DOM_OFFCE_NUM(QTR,"&amp;H$5&amp;")"),"-")</f>
        <v/>
      </c>
      <c r="I75" s="21">
        <f>_xlfn.IFNA(FDS($C$3,"FB_DOM_OFFCE_NUM(QTR,"&amp;I$5&amp;")"),"-")</f>
        <v/>
      </c>
      <c r="J75" s="21">
        <f>_xlfn.IFNA(FDS($C$3,"FB_DOM_OFFCE_NUM(QTR,"&amp;J$5&amp;")"),"-")</f>
        <v/>
      </c>
      <c r="K75" s="21">
        <f>_xlfn.IFNA(FDS($C$3,"FB_DOM_OFFCE_NUM(QTR,"&amp;K$5&amp;")"),"-")</f>
        <v/>
      </c>
      <c r="L75" s="21">
        <f>_xlfn.IFNA(FDS($C$3,"FB_DOM_OFFCE_NUM(QTR,"&amp;L$5&amp;")"),"-")</f>
        <v/>
      </c>
    </row>
    <row r="76">
      <c r="A76" s="14" t="inlineStr">
        <is>
          <t>Consensus (history)</t>
        </is>
      </c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</row>
    <row r="77">
      <c r="A77" s="6" t="inlineStr"/>
      <c r="B77" s="2" t="inlineStr">
        <is>
          <t>Consensus EPS - quarter ($)</t>
        </is>
      </c>
      <c r="C77" s="11" t="inlineStr">
        <is>
          <t>FE_ESTIMATE(EPS_NONGAAP,MEAN,QTR,{p},0,,,'')</t>
        </is>
      </c>
      <c r="D77" s="12" t="inlineStr">
        <is>
          <t>Verified</t>
        </is>
      </c>
      <c r="E77" s="19">
        <f>_xlfn.IFNA(FDS($C$3,"FE_ESTIMATE(EPS_NONGAAP,MEAN,QTR,"&amp;E$5&amp;",0,,,'')"),"-")</f>
        <v/>
      </c>
      <c r="F77" s="19">
        <f>_xlfn.IFNA(FDS($C$3,"FE_ESTIMATE(EPS_NONGAAP,MEAN,QTR,"&amp;F$5&amp;",0,,,'')"),"-")</f>
        <v/>
      </c>
      <c r="G77" s="19">
        <f>_xlfn.IFNA(FDS($C$3,"FE_ESTIMATE(EPS_NONGAAP,MEAN,QTR,"&amp;G$5&amp;",0,,,'')"),"-")</f>
        <v/>
      </c>
      <c r="H77" s="19">
        <f>_xlfn.IFNA(FDS($C$3,"FE_ESTIMATE(EPS_NONGAAP,MEAN,QTR,"&amp;H$5&amp;",0,,,'')"),"-")</f>
        <v/>
      </c>
      <c r="I77" s="19">
        <f>_xlfn.IFNA(FDS($C$3,"FE_ESTIMATE(EPS_NONGAAP,MEAN,QTR,"&amp;I$5&amp;",0,,,'')"),"-")</f>
        <v/>
      </c>
      <c r="J77" s="19">
        <f>_xlfn.IFNA(FDS($C$3,"FE_ESTIMATE(EPS_NONGAAP,MEAN,QTR,"&amp;J$5&amp;",0,,,'')"),"-")</f>
        <v/>
      </c>
      <c r="K77" s="19">
        <f>_xlfn.IFNA(FDS($C$3,"FE_ESTIMATE(EPS_NONGAAP,MEAN,QTR,"&amp;K$5&amp;",0,,,'')"),"-")</f>
        <v/>
      </c>
      <c r="L77" s="19">
        <f>_xlfn.IFNA(FDS($C$3,"FE_ESTIMATE(EPS_NONGAAP,MEAN,QTR,"&amp;L$5&amp;",0,,,'')"),"-")</f>
        <v/>
      </c>
    </row>
    <row r="78">
      <c r="A78" s="6" t="inlineStr"/>
      <c r="B78" s="2" t="inlineStr">
        <is>
          <t>Consensus revenue - quarter ($M)</t>
        </is>
      </c>
      <c r="C78" s="11" t="inlineStr">
        <is>
          <t>FE_ESTIMATE(SALES,MEAN,QTR_ROLL,{p},0,,,'')</t>
        </is>
      </c>
      <c r="D78" s="12" t="inlineStr">
        <is>
          <t>Verified</t>
        </is>
      </c>
      <c r="E78" s="17">
        <f>_xlfn.IFNA(FDS($C$3,"FE_ESTIMATE(SALES,MEAN,QTR_ROLL,"&amp;E$5&amp;",0,,,'')"),"-")</f>
        <v/>
      </c>
      <c r="F78" s="17">
        <f>_xlfn.IFNA(FDS($C$3,"FE_ESTIMATE(SALES,MEAN,QTR_ROLL,"&amp;F$5&amp;",0,,,'')"),"-")</f>
        <v/>
      </c>
      <c r="G78" s="17">
        <f>_xlfn.IFNA(FDS($C$3,"FE_ESTIMATE(SALES,MEAN,QTR_ROLL,"&amp;G$5&amp;",0,,,'')"),"-")</f>
        <v/>
      </c>
      <c r="H78" s="17">
        <f>_xlfn.IFNA(FDS($C$3,"FE_ESTIMATE(SALES,MEAN,QTR_ROLL,"&amp;H$5&amp;",0,,,'')"),"-")</f>
        <v/>
      </c>
      <c r="I78" s="17">
        <f>_xlfn.IFNA(FDS($C$3,"FE_ESTIMATE(SALES,MEAN,QTR_ROLL,"&amp;I$5&amp;",0,,,'')"),"-")</f>
        <v/>
      </c>
      <c r="J78" s="17">
        <f>_xlfn.IFNA(FDS($C$3,"FE_ESTIMATE(SALES,MEAN,QTR_ROLL,"&amp;J$5&amp;",0,,,'')"),"-")</f>
        <v/>
      </c>
      <c r="K78" s="17">
        <f>_xlfn.IFNA(FDS($C$3,"FE_ESTIMATE(SALES,MEAN,QTR_ROLL,"&amp;K$5&amp;",0,,,'')"),"-")</f>
        <v/>
      </c>
      <c r="L78" s="17">
        <f>_xlfn.IFNA(FDS($C$3,"FE_ESTIMATE(SALES,MEAN,QTR_ROLL,"&amp;L$5&amp;",0,,,'')"),"-")</f>
        <v/>
      </c>
    </row>
    <row r="79">
      <c r="A79" s="6" t="inlineStr"/>
      <c r="B79" s="2" t="inlineStr">
        <is>
          <t>Consensus NII - quarter ($M)</t>
        </is>
      </c>
      <c r="C79" s="11" t="inlineStr">
        <is>
          <t>FE_ESTIMATE(INT_INC_NET,MEAN,QTR,{p})</t>
        </is>
      </c>
      <c r="D79" s="12" t="inlineStr">
        <is>
          <t>Verified</t>
        </is>
      </c>
      <c r="E79" s="17">
        <f>_xlfn.IFNA(FDS($C$3,"FE_ESTIMATE(INT_INC_NET,MEAN,QTR,"&amp;E$5&amp;")"),"-")</f>
        <v/>
      </c>
      <c r="F79" s="17">
        <f>_xlfn.IFNA(FDS($C$3,"FE_ESTIMATE(INT_INC_NET,MEAN,QTR,"&amp;F$5&amp;")"),"-")</f>
        <v/>
      </c>
      <c r="G79" s="17">
        <f>_xlfn.IFNA(FDS($C$3,"FE_ESTIMATE(INT_INC_NET,MEAN,QTR,"&amp;G$5&amp;")"),"-")</f>
        <v/>
      </c>
      <c r="H79" s="17">
        <f>_xlfn.IFNA(FDS($C$3,"FE_ESTIMATE(INT_INC_NET,MEAN,QTR,"&amp;H$5&amp;")"),"-")</f>
        <v/>
      </c>
      <c r="I79" s="17">
        <f>_xlfn.IFNA(FDS($C$3,"FE_ESTIMATE(INT_INC_NET,MEAN,QTR,"&amp;I$5&amp;")"),"-")</f>
        <v/>
      </c>
      <c r="J79" s="17">
        <f>_xlfn.IFNA(FDS($C$3,"FE_ESTIMATE(INT_INC_NET,MEAN,QTR,"&amp;J$5&amp;")"),"-")</f>
        <v/>
      </c>
      <c r="K79" s="17">
        <f>_xlfn.IFNA(FDS($C$3,"FE_ESTIMATE(INT_INC_NET,MEAN,QTR,"&amp;K$5&amp;")"),"-")</f>
        <v/>
      </c>
      <c r="L79" s="17">
        <f>_xlfn.IFNA(FDS($C$3,"FE_ESTIMATE(INT_INC_NET,MEAN,QTR,"&amp;L$5&amp;")"),"-")</f>
        <v/>
      </c>
    </row>
    <row r="80">
      <c r="A80" s="6" t="inlineStr"/>
      <c r="B80" s="2" t="inlineStr">
        <is>
          <t>Consensus fee income - quarter ($M)</t>
        </is>
      </c>
      <c r="C80" s="11" t="inlineStr">
        <is>
          <t>FE_ESTIMATE(INCFEESCOM,MEAN,QTR_ROLL,{p},0,,,'')</t>
        </is>
      </c>
      <c r="D80" s="12" t="inlineStr">
        <is>
          <t>Verified</t>
        </is>
      </c>
      <c r="E80" s="17">
        <f>_xlfn.IFNA(FDS($C$3,"FE_ESTIMATE(INCFEESCOM,MEAN,QTR_ROLL,"&amp;E$5&amp;",0,,,'')"),"-")</f>
        <v/>
      </c>
      <c r="F80" s="17">
        <f>_xlfn.IFNA(FDS($C$3,"FE_ESTIMATE(INCFEESCOM,MEAN,QTR_ROLL,"&amp;F$5&amp;",0,,,'')"),"-")</f>
        <v/>
      </c>
      <c r="G80" s="17">
        <f>_xlfn.IFNA(FDS($C$3,"FE_ESTIMATE(INCFEESCOM,MEAN,QTR_ROLL,"&amp;G$5&amp;",0,,,'')"),"-")</f>
        <v/>
      </c>
      <c r="H80" s="17">
        <f>_xlfn.IFNA(FDS($C$3,"FE_ESTIMATE(INCFEESCOM,MEAN,QTR_ROLL,"&amp;H$5&amp;",0,,,'')"),"-")</f>
        <v/>
      </c>
      <c r="I80" s="17">
        <f>_xlfn.IFNA(FDS($C$3,"FE_ESTIMATE(INCFEESCOM,MEAN,QTR_ROLL,"&amp;I$5&amp;",0,,,'')"),"-")</f>
        <v/>
      </c>
      <c r="J80" s="17">
        <f>_xlfn.IFNA(FDS($C$3,"FE_ESTIMATE(INCFEESCOM,MEAN,QTR_ROLL,"&amp;J$5&amp;",0,,,'')"),"-")</f>
        <v/>
      </c>
      <c r="K80" s="17">
        <f>_xlfn.IFNA(FDS($C$3,"FE_ESTIMATE(INCFEESCOM,MEAN,QTR_ROLL,"&amp;K$5&amp;",0,,,'')"),"-")</f>
        <v/>
      </c>
      <c r="L80" s="17">
        <f>_xlfn.IFNA(FDS($C$3,"FE_ESTIMATE(INCFEESCOM,MEAN,QTR_ROLL,"&amp;L$5&amp;",0,,,'')"),"-")</f>
        <v/>
      </c>
    </row>
    <row r="81">
      <c r="A81" s="6" t="inlineStr"/>
      <c r="B81" s="2" t="inlineStr">
        <is>
          <t>Consensus ROTCE - quarter (%)</t>
        </is>
      </c>
      <c r="C81" s="11" t="inlineStr">
        <is>
          <t>FE_ESTIMATE(ROTE,MEAN,QTR_ROLL,{p},0,,,'')</t>
        </is>
      </c>
      <c r="D81" s="12" t="inlineStr">
        <is>
          <t>Verified</t>
        </is>
      </c>
      <c r="E81" s="18">
        <f>_xlfn.IFNA(FDS($C$3,"FE_ESTIMATE(ROTE,MEAN,QTR_ROLL,"&amp;E$5&amp;",0,,,'')"),"-")</f>
        <v/>
      </c>
      <c r="F81" s="18">
        <f>_xlfn.IFNA(FDS($C$3,"FE_ESTIMATE(ROTE,MEAN,QTR_ROLL,"&amp;F$5&amp;",0,,,'')"),"-")</f>
        <v/>
      </c>
      <c r="G81" s="18">
        <f>_xlfn.IFNA(FDS($C$3,"FE_ESTIMATE(ROTE,MEAN,QTR_ROLL,"&amp;G$5&amp;",0,,,'')"),"-")</f>
        <v/>
      </c>
      <c r="H81" s="18">
        <f>_xlfn.IFNA(FDS($C$3,"FE_ESTIMATE(ROTE,MEAN,QTR_ROLL,"&amp;H$5&amp;",0,,,'')"),"-")</f>
        <v/>
      </c>
      <c r="I81" s="18">
        <f>_xlfn.IFNA(FDS($C$3,"FE_ESTIMATE(ROTE,MEAN,QTR_ROLL,"&amp;I$5&amp;",0,,,'')"),"-")</f>
        <v/>
      </c>
      <c r="J81" s="18">
        <f>_xlfn.IFNA(FDS($C$3,"FE_ESTIMATE(ROTE,MEAN,QTR_ROLL,"&amp;J$5&amp;",0,,,'')"),"-")</f>
        <v/>
      </c>
      <c r="K81" s="18">
        <f>_xlfn.IFNA(FDS($C$3,"FE_ESTIMATE(ROTE,MEAN,QTR_ROLL,"&amp;K$5&amp;",0,,,'')"),"-")</f>
        <v/>
      </c>
      <c r="L81" s="18">
        <f>_xlfn.IFNA(FDS($C$3,"FE_ESTIMATE(ROTE,MEAN,QTR_ROLL,"&amp;L$5&amp;",0,,,'')"),"-")</f>
        <v/>
      </c>
    </row>
    <row r="82">
      <c r="A82" s="6" t="inlineStr"/>
      <c r="B82" s="2" t="inlineStr">
        <is>
          <t>Consensus CET1 capital - quarter ($M)</t>
        </is>
      </c>
      <c r="C82" s="11" t="inlineStr">
        <is>
          <t>FE_ESTIMATE(COM_EQUITY_TIER1,MEAN,QTR,{p},,,,'')</t>
        </is>
      </c>
      <c r="D82" s="12" t="inlineStr">
        <is>
          <t>Verified</t>
        </is>
      </c>
      <c r="E82" s="17">
        <f>_xlfn.IFNA(FDS($C$3,"FE_ESTIMATE(COM_EQUITY_TIER1,MEAN,QTR,"&amp;E$5&amp;",,,,'')"),"-")</f>
        <v/>
      </c>
      <c r="F82" s="17">
        <f>_xlfn.IFNA(FDS($C$3,"FE_ESTIMATE(COM_EQUITY_TIER1,MEAN,QTR,"&amp;F$5&amp;",,,,'')"),"-")</f>
        <v/>
      </c>
      <c r="G82" s="17">
        <f>_xlfn.IFNA(FDS($C$3,"FE_ESTIMATE(COM_EQUITY_TIER1,MEAN,QTR,"&amp;G$5&amp;",,,,'')"),"-")</f>
        <v/>
      </c>
      <c r="H82" s="17">
        <f>_xlfn.IFNA(FDS($C$3,"FE_ESTIMATE(COM_EQUITY_TIER1,MEAN,QTR,"&amp;H$5&amp;",,,,'')"),"-")</f>
        <v/>
      </c>
      <c r="I82" s="17">
        <f>_xlfn.IFNA(FDS($C$3,"FE_ESTIMATE(COM_EQUITY_TIER1,MEAN,QTR,"&amp;I$5&amp;",,,,'')"),"-")</f>
        <v/>
      </c>
      <c r="J82" s="17">
        <f>_xlfn.IFNA(FDS($C$3,"FE_ESTIMATE(COM_EQUITY_TIER1,MEAN,QTR,"&amp;J$5&amp;",,,,'')"),"-")</f>
        <v/>
      </c>
      <c r="K82" s="17">
        <f>_xlfn.IFNA(FDS($C$3,"FE_ESTIMATE(COM_EQUITY_TIER1,MEAN,QTR,"&amp;K$5&amp;",,,,'')"),"-")</f>
        <v/>
      </c>
      <c r="L82" s="17">
        <f>_xlfn.IFNA(FDS($C$3,"FE_ESTIMATE(COM_EQUITY_TIER1,MEAN,QTR,"&amp;L$5&amp;",,,,'')"),"-")</f>
        <v/>
      </c>
    </row>
  </sheetData>
  <conditionalFormatting sqref="E8:L83">
    <cfRule type="expression" priority="1" dxfId="0">
      <formula>IFERROR(E8="-",ISNA(E8))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"/>
  <sheetViews>
    <sheetView topLeftCell="A1" zoomScale="9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60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Annual code test - FFI vs FF vs FB, and the @ fallback chain</t>
        </is>
      </c>
    </row>
    <row r="2">
      <c r="A2" s="6" t="inlineStr">
        <is>
          <t>Each metric is pulled four ways: FFI_, FF_, FB_ (US banks only) and the FFI@FF@FB chain. This shows which family works per bank; the chain takes the first one that returns a number. $ in millions USD; % as whole numbers.</t>
        </is>
      </c>
    </row>
    <row r="3">
      <c r="B3" s="7" t="inlineStr">
        <is>
          <t>Fiscal year</t>
        </is>
      </c>
      <c r="C3" s="8" t="n">
        <v>2025</v>
      </c>
    </row>
    <row r="6">
      <c r="A6" s="9" t="inlineStr">
        <is>
          <t>Category</t>
        </is>
      </c>
      <c r="B6" s="9" t="inlineStr">
        <is>
          <t>Metric</t>
        </is>
      </c>
      <c r="C6" s="9" t="inlineStr">
        <is>
          <t>FactSet code</t>
        </is>
      </c>
      <c r="D6" s="9" t="inlineStr">
        <is>
          <t>Catalog status</t>
        </is>
      </c>
      <c r="E6" s="10" t="inlineStr">
        <is>
          <t>HBAN</t>
        </is>
      </c>
      <c r="F6" s="10" t="inlineStr">
        <is>
          <t>FITB</t>
        </is>
      </c>
      <c r="G6" s="10" t="inlineStr">
        <is>
          <t>RF</t>
        </is>
      </c>
      <c r="H6" s="10" t="inlineStr">
        <is>
          <t>HSBA-GB</t>
        </is>
      </c>
      <c r="I6" s="10" t="inlineStr">
        <is>
          <t>SAN-ES</t>
        </is>
      </c>
      <c r="J6" s="10" t="inlineStr">
        <is>
          <t>NAB-AU</t>
        </is>
      </c>
    </row>
    <row r="7">
      <c r="A7" s="6" t="inlineStr"/>
      <c r="B7" s="2" t="inlineStr">
        <is>
          <t>Company name</t>
        </is>
      </c>
      <c r="C7" s="11" t="inlineStr">
        <is>
          <t>FG_COMPANY_NAME</t>
        </is>
      </c>
      <c r="D7" s="12" t="inlineStr">
        <is>
          <t>Verified</t>
        </is>
      </c>
      <c r="E7" s="13">
        <f>FDSC("-",E$6,"FG_COMPANY_NAME")</f>
        <v/>
      </c>
      <c r="F7" s="13">
        <f>FDSC("-",F$6,"FG_COMPANY_NAME")</f>
        <v/>
      </c>
      <c r="G7" s="13">
        <f>FDSC("-",G$6,"FG_COMPANY_NAME")</f>
        <v/>
      </c>
      <c r="H7" s="13">
        <f>FDSC("-",H$6,"FG_COMPANY_NAME")</f>
        <v/>
      </c>
      <c r="I7" s="13">
        <f>FDSC("-",I$6,"FG_COMPANY_NAME")</f>
        <v/>
      </c>
      <c r="J7" s="13">
        <f>FDSC("-",J$6,"FG_COMPANY_NAME")</f>
        <v/>
      </c>
    </row>
    <row r="8">
      <c r="A8" s="14" t="inlineStr">
        <is>
          <t>Capital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</row>
    <row r="9">
      <c r="A9" s="6" t="inlineStr"/>
      <c r="B9" s="2" t="inlineStr">
        <is>
          <t>CET1 capital ($M) - FFI</t>
        </is>
      </c>
      <c r="C9" s="11" t="inlineStr">
        <is>
          <t>FFI_COM_EQ_TIER1_TOT(ANN_L,{y},,,,USD)</t>
        </is>
      </c>
      <c r="D9" s="12" t="inlineStr">
        <is>
          <t>Verified</t>
        </is>
      </c>
      <c r="E9" s="17">
        <f>FDSC("-",E$6,"FFI_COM_EQ_TIER1_TOT(ANN_L,"&amp;$C$3&amp;",,,,USD)")</f>
        <v/>
      </c>
      <c r="F9" s="17">
        <f>FDSC("-",F$6,"FFI_COM_EQ_TIER1_TOT(ANN_L,"&amp;$C$3&amp;",,,,USD)")</f>
        <v/>
      </c>
      <c r="G9" s="17">
        <f>FDSC("-",G$6,"FFI_COM_EQ_TIER1_TOT(ANN_L,"&amp;$C$3&amp;",,,,USD)")</f>
        <v/>
      </c>
      <c r="H9" s="17">
        <f>FDSC("-",H$6,"FFI_COM_EQ_TIER1_TOT(ANN_L,"&amp;$C$3&amp;",,,,USD)")</f>
        <v/>
      </c>
      <c r="I9" s="17">
        <f>FDSC("-",I$6,"FFI_COM_EQ_TIER1_TOT(ANN_L,"&amp;$C$3&amp;",,,,USD)")</f>
        <v/>
      </c>
      <c r="J9" s="17">
        <f>FDSC("-",J$6,"FFI_COM_EQ_TIER1_TOT(ANN_L,"&amp;$C$3&amp;",,,,USD)")</f>
        <v/>
      </c>
    </row>
    <row r="10">
      <c r="A10" s="6" t="inlineStr"/>
      <c r="B10" s="2" t="inlineStr">
        <is>
          <t>CET1 capital ($M) - FF</t>
        </is>
      </c>
      <c r="C10" s="11" t="inlineStr">
        <is>
          <t>FF_BK_COM_EQ_TIER1_TOT(ANN_R,{y},,,,USD)</t>
        </is>
      </c>
      <c r="D10" s="12" t="inlineStr">
        <is>
          <t>Verified</t>
        </is>
      </c>
      <c r="E10" s="17">
        <f>FDSC("-",E$6,"FF_BK_COM_EQ_TIER1_TOT(ANN_R,"&amp;$C$3&amp;",,,,USD)")</f>
        <v/>
      </c>
      <c r="F10" s="17">
        <f>FDSC("-",F$6,"FF_BK_COM_EQ_TIER1_TOT(ANN_R,"&amp;$C$3&amp;",,,,USD)")</f>
        <v/>
      </c>
      <c r="G10" s="17">
        <f>FDSC("-",G$6,"FF_BK_COM_EQ_TIER1_TOT(ANN_R,"&amp;$C$3&amp;",,,,USD)")</f>
        <v/>
      </c>
      <c r="H10" s="17">
        <f>FDSC("-",H$6,"FF_BK_COM_EQ_TIER1_TOT(ANN_R,"&amp;$C$3&amp;",,,,USD)")</f>
        <v/>
      </c>
      <c r="I10" s="17">
        <f>FDSC("-",I$6,"FF_BK_COM_EQ_TIER1_TOT(ANN_R,"&amp;$C$3&amp;",,,,USD)")</f>
        <v/>
      </c>
      <c r="J10" s="17">
        <f>FDSC("-",J$6,"FF_BK_COM_EQ_TIER1_TOT(ANN_R,"&amp;$C$3&amp;",,,,USD)")</f>
        <v/>
      </c>
    </row>
    <row r="11">
      <c r="A11" s="6" t="inlineStr"/>
      <c r="B11" s="2" t="inlineStr">
        <is>
          <t>CET1 capital ($M) - FB (US only)</t>
        </is>
      </c>
      <c r="C11" s="11" t="inlineStr">
        <is>
          <t>FB_COM_EQ_TIER1(ANN,{y},,,RF,USD)</t>
        </is>
      </c>
      <c r="D11" s="12" t="inlineStr">
        <is>
          <t>Verified</t>
        </is>
      </c>
      <c r="E11" s="17">
        <f>FDSC("-",E$6,"FB_COM_EQ_TIER1(ANN,"&amp;$C$3&amp;",,,RF,USD)")</f>
        <v/>
      </c>
      <c r="F11" s="17">
        <f>FDSC("-",F$6,"FB_COM_EQ_TIER1(ANN,"&amp;$C$3&amp;",,,RF,USD)")</f>
        <v/>
      </c>
      <c r="G11" s="17">
        <f>FDSC("-",G$6,"FB_COM_EQ_TIER1(ANN,"&amp;$C$3&amp;",,,RF,USD)")</f>
        <v/>
      </c>
      <c r="H11" s="17">
        <f>FDSC("-",H$6,"FB_COM_EQ_TIER1(ANN,"&amp;$C$3&amp;",,,RF,USD)")</f>
        <v/>
      </c>
      <c r="I11" s="17">
        <f>FDSC("-",I$6,"FB_COM_EQ_TIER1(ANN,"&amp;$C$3&amp;",,,RF,USD)")</f>
        <v/>
      </c>
      <c r="J11" s="17">
        <f>FDSC("-",J$6,"FB_COM_EQ_TIER1(ANN,"&amp;$C$3&amp;",,,RF,USD)")</f>
        <v/>
      </c>
    </row>
    <row r="12">
      <c r="A12" s="6" t="inlineStr"/>
      <c r="B12" s="7" t="inlineStr">
        <is>
          <t>CET1 capital ($M) - CHAIN (FFI@FF@FB)</t>
        </is>
      </c>
      <c r="C12" s="11" t="inlineStr">
        <is>
          <t>FFI_COM_EQ_TIER1_TOT(ANN_L,{y},,,,USD)@FF_BK_COM_EQ_TIER1_TOT(ANN_R,{y},,,,USD)@FB_COM_EQ_TIER1(ANN,{y},,,RF,USD)</t>
        </is>
      </c>
      <c r="D12" s="24" t="inlineStr">
        <is>
          <t>Chain</t>
        </is>
      </c>
      <c r="E12" s="25">
        <f>FDSC("-",E$6,"FFI_COM_EQ_TIER1_TOT(ANN_L,"&amp;$C$3&amp;",,,,USD)@FF_BK_COM_EQ_TIER1_TOT(ANN_R,"&amp;$C$3&amp;",,,,USD)@FB_COM_EQ_TIER1(ANN,"&amp;$C$3&amp;",,,RF,USD)")</f>
        <v/>
      </c>
      <c r="F12" s="25">
        <f>FDSC("-",F$6,"FFI_COM_EQ_TIER1_TOT(ANN_L,"&amp;$C$3&amp;",,,,USD)@FF_BK_COM_EQ_TIER1_TOT(ANN_R,"&amp;$C$3&amp;",,,,USD)@FB_COM_EQ_TIER1(ANN,"&amp;$C$3&amp;",,,RF,USD)")</f>
        <v/>
      </c>
      <c r="G12" s="25">
        <f>FDSC("-",G$6,"FFI_COM_EQ_TIER1_TOT(ANN_L,"&amp;$C$3&amp;",,,,USD)@FF_BK_COM_EQ_TIER1_TOT(ANN_R,"&amp;$C$3&amp;",,,,USD)@FB_COM_EQ_TIER1(ANN,"&amp;$C$3&amp;",,,RF,USD)")</f>
        <v/>
      </c>
      <c r="H12" s="25">
        <f>FDSC("-",H$6,"FFI_COM_EQ_TIER1_TOT(ANN_L,"&amp;$C$3&amp;",,,,USD)@FF_BK_COM_EQ_TIER1_TOT(ANN_R,"&amp;$C$3&amp;",,,,USD)@FB_COM_EQ_TIER1(ANN,"&amp;$C$3&amp;",,,RF,USD)")</f>
        <v/>
      </c>
      <c r="I12" s="25">
        <f>FDSC("-",I$6,"FFI_COM_EQ_TIER1_TOT(ANN_L,"&amp;$C$3&amp;",,,,USD)@FF_BK_COM_EQ_TIER1_TOT(ANN_R,"&amp;$C$3&amp;",,,,USD)@FB_COM_EQ_TIER1(ANN,"&amp;$C$3&amp;",,,RF,USD)")</f>
        <v/>
      </c>
      <c r="J12" s="25">
        <f>FDSC("-",J$6,"FFI_COM_EQ_TIER1_TOT(ANN_L,"&amp;$C$3&amp;",,,,USD)@FF_BK_COM_EQ_TIER1_TOT(ANN_R,"&amp;$C$3&amp;",,,,USD)@FB_COM_EQ_TIER1(ANN,"&amp;$C$3&amp;",,,RF,USD)")</f>
        <v/>
      </c>
    </row>
    <row r="13">
      <c r="A13" s="6" t="inlineStr"/>
      <c r="B13" s="2" t="inlineStr">
        <is>
          <t>CET1 ratio (%) - FFI</t>
        </is>
      </c>
      <c r="C13" s="11" t="inlineStr">
        <is>
          <t>FFI_COM_EQ_TIER1_RATIO(ANN_L,{y})</t>
        </is>
      </c>
      <c r="D13" s="12" t="inlineStr">
        <is>
          <t>Verified</t>
        </is>
      </c>
      <c r="E13" s="18">
        <f>FDSC("-",E$6,"FFI_COM_EQ_TIER1_RATIO(ANN_L,"&amp;$C$3&amp;")")</f>
        <v/>
      </c>
      <c r="F13" s="18">
        <f>FDSC("-",F$6,"FFI_COM_EQ_TIER1_RATIO(ANN_L,"&amp;$C$3&amp;")")</f>
        <v/>
      </c>
      <c r="G13" s="18">
        <f>FDSC("-",G$6,"FFI_COM_EQ_TIER1_RATIO(ANN_L,"&amp;$C$3&amp;")")</f>
        <v/>
      </c>
      <c r="H13" s="18">
        <f>FDSC("-",H$6,"FFI_COM_EQ_TIER1_RATIO(ANN_L,"&amp;$C$3&amp;")")</f>
        <v/>
      </c>
      <c r="I13" s="18">
        <f>FDSC("-",I$6,"FFI_COM_EQ_TIER1_RATIO(ANN_L,"&amp;$C$3&amp;")")</f>
        <v/>
      </c>
      <c r="J13" s="18">
        <f>FDSC("-",J$6,"FFI_COM_EQ_TIER1_RATIO(ANN_L,"&amp;$C$3&amp;")")</f>
        <v/>
      </c>
    </row>
    <row r="14">
      <c r="A14" s="6" t="inlineStr"/>
      <c r="B14" s="2" t="inlineStr">
        <is>
          <t>CET1 ratio (%) - FF</t>
        </is>
      </c>
      <c r="C14" s="11" t="inlineStr">
        <is>
          <t>FF_BK_COM_EQ_TIER1_RATIO(ANN_R,{y})</t>
        </is>
      </c>
      <c r="D14" s="12" t="inlineStr">
        <is>
          <t>Verified</t>
        </is>
      </c>
      <c r="E14" s="18">
        <f>FDSC("-",E$6,"FF_BK_COM_EQ_TIER1_RATIO(ANN_R,"&amp;$C$3&amp;")")</f>
        <v/>
      </c>
      <c r="F14" s="18">
        <f>FDSC("-",F$6,"FF_BK_COM_EQ_TIER1_RATIO(ANN_R,"&amp;$C$3&amp;")")</f>
        <v/>
      </c>
      <c r="G14" s="18">
        <f>FDSC("-",G$6,"FF_BK_COM_EQ_TIER1_RATIO(ANN_R,"&amp;$C$3&amp;")")</f>
        <v/>
      </c>
      <c r="H14" s="18">
        <f>FDSC("-",H$6,"FF_BK_COM_EQ_TIER1_RATIO(ANN_R,"&amp;$C$3&amp;")")</f>
        <v/>
      </c>
      <c r="I14" s="18">
        <f>FDSC("-",I$6,"FF_BK_COM_EQ_TIER1_RATIO(ANN_R,"&amp;$C$3&amp;")")</f>
        <v/>
      </c>
      <c r="J14" s="18">
        <f>FDSC("-",J$6,"FF_BK_COM_EQ_TIER1_RATIO(ANN_R,"&amp;$C$3&amp;")")</f>
        <v/>
      </c>
    </row>
    <row r="15">
      <c r="A15" s="6" t="inlineStr"/>
      <c r="B15" s="2" t="inlineStr">
        <is>
          <t>CET1 ratio (%) - FB (US only)</t>
        </is>
      </c>
      <c r="C15" s="11" t="inlineStr">
        <is>
          <t>FB_COM_EQ_TIER1_RATIO(ANN,{y},,,RF)</t>
        </is>
      </c>
      <c r="D15" s="12" t="inlineStr">
        <is>
          <t>Verified</t>
        </is>
      </c>
      <c r="E15" s="18">
        <f>FDSC("-",E$6,"FB_COM_EQ_TIER1_RATIO(ANN,"&amp;$C$3&amp;",,,RF)")</f>
        <v/>
      </c>
      <c r="F15" s="18">
        <f>FDSC("-",F$6,"FB_COM_EQ_TIER1_RATIO(ANN,"&amp;$C$3&amp;",,,RF)")</f>
        <v/>
      </c>
      <c r="G15" s="18">
        <f>FDSC("-",G$6,"FB_COM_EQ_TIER1_RATIO(ANN,"&amp;$C$3&amp;",,,RF)")</f>
        <v/>
      </c>
      <c r="H15" s="18">
        <f>FDSC("-",H$6,"FB_COM_EQ_TIER1_RATIO(ANN,"&amp;$C$3&amp;",,,RF)")</f>
        <v/>
      </c>
      <c r="I15" s="18">
        <f>FDSC("-",I$6,"FB_COM_EQ_TIER1_RATIO(ANN,"&amp;$C$3&amp;",,,RF)")</f>
        <v/>
      </c>
      <c r="J15" s="18">
        <f>FDSC("-",J$6,"FB_COM_EQ_TIER1_RATIO(ANN,"&amp;$C$3&amp;",,,RF)")</f>
        <v/>
      </c>
    </row>
    <row r="16">
      <c r="A16" s="6" t="inlineStr"/>
      <c r="B16" s="7" t="inlineStr">
        <is>
          <t>CET1 ratio (%) - CHAIN (FFI@FF@FB)</t>
        </is>
      </c>
      <c r="C16" s="11" t="inlineStr">
        <is>
          <t>FFI_COM_EQ_TIER1_RATIO(ANN_L,{y})@FF_BK_COM_EQ_TIER1_RATIO(ANN_R,{y})@FB_COM_EQ_TIER1_RATIO(ANN,{y},,,RF)</t>
        </is>
      </c>
      <c r="D16" s="24" t="inlineStr">
        <is>
          <t>Chain</t>
        </is>
      </c>
      <c r="E16" s="26">
        <f>FDSC("-",E$6,"FFI_COM_EQ_TIER1_RATIO(ANN_L,"&amp;$C$3&amp;")@FF_BK_COM_EQ_TIER1_RATIO(ANN_R,"&amp;$C$3&amp;")@FB_COM_EQ_TIER1_RATIO(ANN,"&amp;$C$3&amp;",,,RF)")</f>
        <v/>
      </c>
      <c r="F16" s="26">
        <f>FDSC("-",F$6,"FFI_COM_EQ_TIER1_RATIO(ANN_L,"&amp;$C$3&amp;")@FF_BK_COM_EQ_TIER1_RATIO(ANN_R,"&amp;$C$3&amp;")@FB_COM_EQ_TIER1_RATIO(ANN,"&amp;$C$3&amp;",,,RF)")</f>
        <v/>
      </c>
      <c r="G16" s="26">
        <f>FDSC("-",G$6,"FFI_COM_EQ_TIER1_RATIO(ANN_L,"&amp;$C$3&amp;")@FF_BK_COM_EQ_TIER1_RATIO(ANN_R,"&amp;$C$3&amp;")@FB_COM_EQ_TIER1_RATIO(ANN,"&amp;$C$3&amp;",,,RF)")</f>
        <v/>
      </c>
      <c r="H16" s="26">
        <f>FDSC("-",H$6,"FFI_COM_EQ_TIER1_RATIO(ANN_L,"&amp;$C$3&amp;")@FF_BK_COM_EQ_TIER1_RATIO(ANN_R,"&amp;$C$3&amp;")@FB_COM_EQ_TIER1_RATIO(ANN,"&amp;$C$3&amp;",,,RF)")</f>
        <v/>
      </c>
      <c r="I16" s="26">
        <f>FDSC("-",I$6,"FFI_COM_EQ_TIER1_RATIO(ANN_L,"&amp;$C$3&amp;")@FF_BK_COM_EQ_TIER1_RATIO(ANN_R,"&amp;$C$3&amp;")@FB_COM_EQ_TIER1_RATIO(ANN,"&amp;$C$3&amp;",,,RF)")</f>
        <v/>
      </c>
      <c r="J16" s="26">
        <f>FDSC("-",J$6,"FFI_COM_EQ_TIER1_RATIO(ANN_L,"&amp;$C$3&amp;")@FF_BK_COM_EQ_TIER1_RATIO(ANN_R,"&amp;$C$3&amp;")@FB_COM_EQ_TIER1_RATIO(ANN,"&amp;$C$3&amp;",,,RF)")</f>
        <v/>
      </c>
    </row>
    <row r="17">
      <c r="A17" s="6" t="inlineStr"/>
      <c r="B17" s="2" t="inlineStr">
        <is>
          <t>Tier 1 capital ($M) - FFI</t>
        </is>
      </c>
      <c r="C17" s="11" t="inlineStr">
        <is>
          <t>FFI_TIER1_CAP(ANN_L,{y},,,,USD)</t>
        </is>
      </c>
      <c r="D17" s="12" t="inlineStr">
        <is>
          <t>Verified</t>
        </is>
      </c>
      <c r="E17" s="17">
        <f>FDSC("-",E$6,"FFI_TIER1_CAP(ANN_L,"&amp;$C$3&amp;",,,,USD)")</f>
        <v/>
      </c>
      <c r="F17" s="17">
        <f>FDSC("-",F$6,"FFI_TIER1_CAP(ANN_L,"&amp;$C$3&amp;",,,,USD)")</f>
        <v/>
      </c>
      <c r="G17" s="17">
        <f>FDSC("-",G$6,"FFI_TIER1_CAP(ANN_L,"&amp;$C$3&amp;",,,,USD)")</f>
        <v/>
      </c>
      <c r="H17" s="17">
        <f>FDSC("-",H$6,"FFI_TIER1_CAP(ANN_L,"&amp;$C$3&amp;",,,,USD)")</f>
        <v/>
      </c>
      <c r="I17" s="17">
        <f>FDSC("-",I$6,"FFI_TIER1_CAP(ANN_L,"&amp;$C$3&amp;",,,,USD)")</f>
        <v/>
      </c>
      <c r="J17" s="17">
        <f>FDSC("-",J$6,"FFI_TIER1_CAP(ANN_L,"&amp;$C$3&amp;",,,,USD)")</f>
        <v/>
      </c>
    </row>
    <row r="18">
      <c r="A18" s="6" t="inlineStr"/>
      <c r="B18" s="2" t="inlineStr">
        <is>
          <t>Tier 1 capital ($M) - FF</t>
        </is>
      </c>
      <c r="C18" s="11" t="inlineStr">
        <is>
          <t>FF_TIER1_CAP(ANN_R,{y},,,,USD)</t>
        </is>
      </c>
      <c r="D18" s="12" t="inlineStr">
        <is>
          <t>Verified</t>
        </is>
      </c>
      <c r="E18" s="17">
        <f>FDSC("-",E$6,"FF_TIER1_CAP(ANN_R,"&amp;$C$3&amp;",,,,USD)")</f>
        <v/>
      </c>
      <c r="F18" s="17">
        <f>FDSC("-",F$6,"FF_TIER1_CAP(ANN_R,"&amp;$C$3&amp;",,,,USD)")</f>
        <v/>
      </c>
      <c r="G18" s="17">
        <f>FDSC("-",G$6,"FF_TIER1_CAP(ANN_R,"&amp;$C$3&amp;",,,,USD)")</f>
        <v/>
      </c>
      <c r="H18" s="17">
        <f>FDSC("-",H$6,"FF_TIER1_CAP(ANN_R,"&amp;$C$3&amp;",,,,USD)")</f>
        <v/>
      </c>
      <c r="I18" s="17">
        <f>FDSC("-",I$6,"FF_TIER1_CAP(ANN_R,"&amp;$C$3&amp;",,,,USD)")</f>
        <v/>
      </c>
      <c r="J18" s="17">
        <f>FDSC("-",J$6,"FF_TIER1_CAP(ANN_R,"&amp;$C$3&amp;",,,,USD)")</f>
        <v/>
      </c>
    </row>
    <row r="19">
      <c r="A19" s="6" t="inlineStr"/>
      <c r="B19" s="2" t="inlineStr">
        <is>
          <t>Tier 1 capital ($M) - FB (US only)</t>
        </is>
      </c>
      <c r="C19" s="11" t="inlineStr">
        <is>
          <t>FB_TIER1_CAP(ANN,{y},,,RF,USD)</t>
        </is>
      </c>
      <c r="D19" s="12" t="inlineStr">
        <is>
          <t>Verified</t>
        </is>
      </c>
      <c r="E19" s="17">
        <f>FDSC("-",E$6,"FB_TIER1_CAP(ANN,"&amp;$C$3&amp;",,,RF,USD)")</f>
        <v/>
      </c>
      <c r="F19" s="17">
        <f>FDSC("-",F$6,"FB_TIER1_CAP(ANN,"&amp;$C$3&amp;",,,RF,USD)")</f>
        <v/>
      </c>
      <c r="G19" s="17">
        <f>FDSC("-",G$6,"FB_TIER1_CAP(ANN,"&amp;$C$3&amp;",,,RF,USD)")</f>
        <v/>
      </c>
      <c r="H19" s="17">
        <f>FDSC("-",H$6,"FB_TIER1_CAP(ANN,"&amp;$C$3&amp;",,,RF,USD)")</f>
        <v/>
      </c>
      <c r="I19" s="17">
        <f>FDSC("-",I$6,"FB_TIER1_CAP(ANN,"&amp;$C$3&amp;",,,RF,USD)")</f>
        <v/>
      </c>
      <c r="J19" s="17">
        <f>FDSC("-",J$6,"FB_TIER1_CAP(ANN,"&amp;$C$3&amp;",,,RF,USD)")</f>
        <v/>
      </c>
    </row>
    <row r="20">
      <c r="A20" s="6" t="inlineStr"/>
      <c r="B20" s="7" t="inlineStr">
        <is>
          <t>Tier 1 capital ($M) - CHAIN (FFI@FF@FB)</t>
        </is>
      </c>
      <c r="C20" s="11" t="inlineStr">
        <is>
          <t>FFI_TIER1_CAP(ANN_L,{y},,,,USD)@FF_TIER1_CAP(ANN_R,{y},,,,USD)@FB_TIER1_CAP(ANN,{y},,,RF,USD)</t>
        </is>
      </c>
      <c r="D20" s="24" t="inlineStr">
        <is>
          <t>Chain</t>
        </is>
      </c>
      <c r="E20" s="25">
        <f>FDSC("-",E$6,"FFI_TIER1_CAP(ANN_L,"&amp;$C$3&amp;",,,,USD)@FF_TIER1_CAP(ANN_R,"&amp;$C$3&amp;",,,,USD)@FB_TIER1_CAP(ANN,"&amp;$C$3&amp;",,,RF,USD)")</f>
        <v/>
      </c>
      <c r="F20" s="25">
        <f>FDSC("-",F$6,"FFI_TIER1_CAP(ANN_L,"&amp;$C$3&amp;",,,,USD)@FF_TIER1_CAP(ANN_R,"&amp;$C$3&amp;",,,,USD)@FB_TIER1_CAP(ANN,"&amp;$C$3&amp;",,,RF,USD)")</f>
        <v/>
      </c>
      <c r="G20" s="25">
        <f>FDSC("-",G$6,"FFI_TIER1_CAP(ANN_L,"&amp;$C$3&amp;",,,,USD)@FF_TIER1_CAP(ANN_R,"&amp;$C$3&amp;",,,,USD)@FB_TIER1_CAP(ANN,"&amp;$C$3&amp;",,,RF,USD)")</f>
        <v/>
      </c>
      <c r="H20" s="25">
        <f>FDSC("-",H$6,"FFI_TIER1_CAP(ANN_L,"&amp;$C$3&amp;",,,,USD)@FF_TIER1_CAP(ANN_R,"&amp;$C$3&amp;",,,,USD)@FB_TIER1_CAP(ANN,"&amp;$C$3&amp;",,,RF,USD)")</f>
        <v/>
      </c>
      <c r="I20" s="25">
        <f>FDSC("-",I$6,"FFI_TIER1_CAP(ANN_L,"&amp;$C$3&amp;",,,,USD)@FF_TIER1_CAP(ANN_R,"&amp;$C$3&amp;",,,,USD)@FB_TIER1_CAP(ANN,"&amp;$C$3&amp;",,,RF,USD)")</f>
        <v/>
      </c>
      <c r="J20" s="25">
        <f>FDSC("-",J$6,"FFI_TIER1_CAP(ANN_L,"&amp;$C$3&amp;",,,,USD)@FF_TIER1_CAP(ANN_R,"&amp;$C$3&amp;",,,,USD)@FB_TIER1_CAP(ANN,"&amp;$C$3&amp;",,,RF,USD)")</f>
        <v/>
      </c>
    </row>
    <row r="21">
      <c r="A21" s="6" t="inlineStr"/>
      <c r="B21" s="2" t="inlineStr">
        <is>
          <t>Tier 1 ratio (%) - FFI</t>
        </is>
      </c>
      <c r="C21" s="11" t="inlineStr">
        <is>
          <t>FFI_CAP_RATIO_TIER1(ANN_L,{y})</t>
        </is>
      </c>
      <c r="D21" s="12" t="inlineStr">
        <is>
          <t>Verified</t>
        </is>
      </c>
      <c r="E21" s="18">
        <f>FDSC("-",E$6,"FFI_CAP_RATIO_TIER1(ANN_L,"&amp;$C$3&amp;")")</f>
        <v/>
      </c>
      <c r="F21" s="18">
        <f>FDSC("-",F$6,"FFI_CAP_RATIO_TIER1(ANN_L,"&amp;$C$3&amp;")")</f>
        <v/>
      </c>
      <c r="G21" s="18">
        <f>FDSC("-",G$6,"FFI_CAP_RATIO_TIER1(ANN_L,"&amp;$C$3&amp;")")</f>
        <v/>
      </c>
      <c r="H21" s="18">
        <f>FDSC("-",H$6,"FFI_CAP_RATIO_TIER1(ANN_L,"&amp;$C$3&amp;")")</f>
        <v/>
      </c>
      <c r="I21" s="18">
        <f>FDSC("-",I$6,"FFI_CAP_RATIO_TIER1(ANN_L,"&amp;$C$3&amp;")")</f>
        <v/>
      </c>
      <c r="J21" s="18">
        <f>FDSC("-",J$6,"FFI_CAP_RATIO_TIER1(ANN_L,"&amp;$C$3&amp;")")</f>
        <v/>
      </c>
    </row>
    <row r="22">
      <c r="A22" s="6" t="inlineStr"/>
      <c r="B22" s="2" t="inlineStr">
        <is>
          <t>Tier 1 ratio (%) - FF</t>
        </is>
      </c>
      <c r="C22" s="11" t="inlineStr">
        <is>
          <t>FF_CAP_RATIO_TIER1(ANN_R,{y})</t>
        </is>
      </c>
      <c r="D22" s="12" t="inlineStr">
        <is>
          <t>Verified</t>
        </is>
      </c>
      <c r="E22" s="18">
        <f>FDSC("-",E$6,"FF_CAP_RATIO_TIER1(ANN_R,"&amp;$C$3&amp;")")</f>
        <v/>
      </c>
      <c r="F22" s="18">
        <f>FDSC("-",F$6,"FF_CAP_RATIO_TIER1(ANN_R,"&amp;$C$3&amp;")")</f>
        <v/>
      </c>
      <c r="G22" s="18">
        <f>FDSC("-",G$6,"FF_CAP_RATIO_TIER1(ANN_R,"&amp;$C$3&amp;")")</f>
        <v/>
      </c>
      <c r="H22" s="18">
        <f>FDSC("-",H$6,"FF_CAP_RATIO_TIER1(ANN_R,"&amp;$C$3&amp;")")</f>
        <v/>
      </c>
      <c r="I22" s="18">
        <f>FDSC("-",I$6,"FF_CAP_RATIO_TIER1(ANN_R,"&amp;$C$3&amp;")")</f>
        <v/>
      </c>
      <c r="J22" s="18">
        <f>FDSC("-",J$6,"FF_CAP_RATIO_TIER1(ANN_R,"&amp;$C$3&amp;")")</f>
        <v/>
      </c>
    </row>
    <row r="23">
      <c r="A23" s="6" t="inlineStr"/>
      <c r="B23" s="2" t="inlineStr">
        <is>
          <t>Tier 1 ratio (%) - FB (US only)</t>
        </is>
      </c>
      <c r="C23" s="11" t="inlineStr">
        <is>
          <t>FB_CAP_RATIO_TIER1(ANN,{y},,,RF)</t>
        </is>
      </c>
      <c r="D23" s="12" t="inlineStr">
        <is>
          <t>Verified</t>
        </is>
      </c>
      <c r="E23" s="18">
        <f>FDSC("-",E$6,"FB_CAP_RATIO_TIER1(ANN,"&amp;$C$3&amp;",,,RF)")</f>
        <v/>
      </c>
      <c r="F23" s="18">
        <f>FDSC("-",F$6,"FB_CAP_RATIO_TIER1(ANN,"&amp;$C$3&amp;",,,RF)")</f>
        <v/>
      </c>
      <c r="G23" s="18">
        <f>FDSC("-",G$6,"FB_CAP_RATIO_TIER1(ANN,"&amp;$C$3&amp;",,,RF)")</f>
        <v/>
      </c>
      <c r="H23" s="18">
        <f>FDSC("-",H$6,"FB_CAP_RATIO_TIER1(ANN,"&amp;$C$3&amp;",,,RF)")</f>
        <v/>
      </c>
      <c r="I23" s="18">
        <f>FDSC("-",I$6,"FB_CAP_RATIO_TIER1(ANN,"&amp;$C$3&amp;",,,RF)")</f>
        <v/>
      </c>
      <c r="J23" s="18">
        <f>FDSC("-",J$6,"FB_CAP_RATIO_TIER1(ANN,"&amp;$C$3&amp;",,,RF)")</f>
        <v/>
      </c>
    </row>
    <row r="24">
      <c r="A24" s="6" t="inlineStr"/>
      <c r="B24" s="7" t="inlineStr">
        <is>
          <t>Tier 1 ratio (%) - CHAIN (FFI@FF@FB)</t>
        </is>
      </c>
      <c r="C24" s="11" t="inlineStr">
        <is>
          <t>FFI_CAP_RATIO_TIER1(ANN_L,{y})@FF_CAP_RATIO_TIER1(ANN_R,{y})@FB_CAP_RATIO_TIER1(ANN,{y},,,RF)</t>
        </is>
      </c>
      <c r="D24" s="24" t="inlineStr">
        <is>
          <t>Chain</t>
        </is>
      </c>
      <c r="E24" s="26">
        <f>FDSC("-",E$6,"FFI_CAP_RATIO_TIER1(ANN_L,"&amp;$C$3&amp;")@FF_CAP_RATIO_TIER1(ANN_R,"&amp;$C$3&amp;")@FB_CAP_RATIO_TIER1(ANN,"&amp;$C$3&amp;",,,RF)")</f>
        <v/>
      </c>
      <c r="F24" s="26">
        <f>FDSC("-",F$6,"FFI_CAP_RATIO_TIER1(ANN_L,"&amp;$C$3&amp;")@FF_CAP_RATIO_TIER1(ANN_R,"&amp;$C$3&amp;")@FB_CAP_RATIO_TIER1(ANN,"&amp;$C$3&amp;",,,RF)")</f>
        <v/>
      </c>
      <c r="G24" s="26">
        <f>FDSC("-",G$6,"FFI_CAP_RATIO_TIER1(ANN_L,"&amp;$C$3&amp;")@FF_CAP_RATIO_TIER1(ANN_R,"&amp;$C$3&amp;")@FB_CAP_RATIO_TIER1(ANN,"&amp;$C$3&amp;",,,RF)")</f>
        <v/>
      </c>
      <c r="H24" s="26">
        <f>FDSC("-",H$6,"FFI_CAP_RATIO_TIER1(ANN_L,"&amp;$C$3&amp;")@FF_CAP_RATIO_TIER1(ANN_R,"&amp;$C$3&amp;")@FB_CAP_RATIO_TIER1(ANN,"&amp;$C$3&amp;",,,RF)")</f>
        <v/>
      </c>
      <c r="I24" s="26">
        <f>FDSC("-",I$6,"FFI_CAP_RATIO_TIER1(ANN_L,"&amp;$C$3&amp;")@FF_CAP_RATIO_TIER1(ANN_R,"&amp;$C$3&amp;")@FB_CAP_RATIO_TIER1(ANN,"&amp;$C$3&amp;",,,RF)")</f>
        <v/>
      </c>
      <c r="J24" s="26">
        <f>FDSC("-",J$6,"FFI_CAP_RATIO_TIER1(ANN_L,"&amp;$C$3&amp;")@FF_CAP_RATIO_TIER1(ANN_R,"&amp;$C$3&amp;")@FB_CAP_RATIO_TIER1(ANN,"&amp;$C$3&amp;",,,RF)")</f>
        <v/>
      </c>
    </row>
    <row r="25">
      <c r="A25" s="6" t="inlineStr"/>
      <c r="B25" s="2" t="inlineStr">
        <is>
          <t>Total capital ratio (%) - FFI</t>
        </is>
      </c>
      <c r="C25" s="11" t="inlineStr">
        <is>
          <t>FFI_CAP_RATIO_TOT(ANN_L,{y})</t>
        </is>
      </c>
      <c r="D25" s="12" t="inlineStr">
        <is>
          <t>Verified</t>
        </is>
      </c>
      <c r="E25" s="18">
        <f>FDSC("-",E$6,"FFI_CAP_RATIO_TOT(ANN_L,"&amp;$C$3&amp;")")</f>
        <v/>
      </c>
      <c r="F25" s="18">
        <f>FDSC("-",F$6,"FFI_CAP_RATIO_TOT(ANN_L,"&amp;$C$3&amp;")")</f>
        <v/>
      </c>
      <c r="G25" s="18">
        <f>FDSC("-",G$6,"FFI_CAP_RATIO_TOT(ANN_L,"&amp;$C$3&amp;")")</f>
        <v/>
      </c>
      <c r="H25" s="18">
        <f>FDSC("-",H$6,"FFI_CAP_RATIO_TOT(ANN_L,"&amp;$C$3&amp;")")</f>
        <v/>
      </c>
      <c r="I25" s="18">
        <f>FDSC("-",I$6,"FFI_CAP_RATIO_TOT(ANN_L,"&amp;$C$3&amp;")")</f>
        <v/>
      </c>
      <c r="J25" s="18">
        <f>FDSC("-",J$6,"FFI_CAP_RATIO_TOT(ANN_L,"&amp;$C$3&amp;")")</f>
        <v/>
      </c>
    </row>
    <row r="26">
      <c r="A26" s="6" t="inlineStr"/>
      <c r="B26" s="2" t="inlineStr">
        <is>
          <t>Total capital ratio (%) - FF</t>
        </is>
      </c>
      <c r="C26" s="11" t="inlineStr">
        <is>
          <t>FF_CAP_RATIO_TOT(ANN_R,{y})</t>
        </is>
      </c>
      <c r="D26" s="12" t="inlineStr">
        <is>
          <t>Verified</t>
        </is>
      </c>
      <c r="E26" s="18">
        <f>FDSC("-",E$6,"FF_CAP_RATIO_TOT(ANN_R,"&amp;$C$3&amp;")")</f>
        <v/>
      </c>
      <c r="F26" s="18">
        <f>FDSC("-",F$6,"FF_CAP_RATIO_TOT(ANN_R,"&amp;$C$3&amp;")")</f>
        <v/>
      </c>
      <c r="G26" s="18">
        <f>FDSC("-",G$6,"FF_CAP_RATIO_TOT(ANN_R,"&amp;$C$3&amp;")")</f>
        <v/>
      </c>
      <c r="H26" s="18">
        <f>FDSC("-",H$6,"FF_CAP_RATIO_TOT(ANN_R,"&amp;$C$3&amp;")")</f>
        <v/>
      </c>
      <c r="I26" s="18">
        <f>FDSC("-",I$6,"FF_CAP_RATIO_TOT(ANN_R,"&amp;$C$3&amp;")")</f>
        <v/>
      </c>
      <c r="J26" s="18">
        <f>FDSC("-",J$6,"FF_CAP_RATIO_TOT(ANN_R,"&amp;$C$3&amp;")")</f>
        <v/>
      </c>
    </row>
    <row r="27">
      <c r="A27" s="6" t="inlineStr"/>
      <c r="B27" s="2" t="inlineStr">
        <is>
          <t>Total capital ratio (%) - FB (US only)</t>
        </is>
      </c>
      <c r="C27" s="11" t="inlineStr">
        <is>
          <t>FB_CAP_RATIO_TOT(ANN,{y},,,RF)</t>
        </is>
      </c>
      <c r="D27" s="12" t="inlineStr">
        <is>
          <t>Verified</t>
        </is>
      </c>
      <c r="E27" s="18">
        <f>FDSC("-",E$6,"FB_CAP_RATIO_TOT(ANN,"&amp;$C$3&amp;",,,RF)")</f>
        <v/>
      </c>
      <c r="F27" s="18">
        <f>FDSC("-",F$6,"FB_CAP_RATIO_TOT(ANN,"&amp;$C$3&amp;",,,RF)")</f>
        <v/>
      </c>
      <c r="G27" s="18">
        <f>FDSC("-",G$6,"FB_CAP_RATIO_TOT(ANN,"&amp;$C$3&amp;",,,RF)")</f>
        <v/>
      </c>
      <c r="H27" s="18">
        <f>FDSC("-",H$6,"FB_CAP_RATIO_TOT(ANN,"&amp;$C$3&amp;",,,RF)")</f>
        <v/>
      </c>
      <c r="I27" s="18">
        <f>FDSC("-",I$6,"FB_CAP_RATIO_TOT(ANN,"&amp;$C$3&amp;",,,RF)")</f>
        <v/>
      </c>
      <c r="J27" s="18">
        <f>FDSC("-",J$6,"FB_CAP_RATIO_TOT(ANN,"&amp;$C$3&amp;",,,RF)")</f>
        <v/>
      </c>
    </row>
    <row r="28">
      <c r="A28" s="6" t="inlineStr"/>
      <c r="B28" s="7" t="inlineStr">
        <is>
          <t>Total capital ratio (%) - CHAIN (FFI@FF@FB)</t>
        </is>
      </c>
      <c r="C28" s="11" t="inlineStr">
        <is>
          <t>FFI_CAP_RATIO_TOT(ANN_L,{y})@FF_CAP_RATIO_TOT(ANN_R,{y})@FB_CAP_RATIO_TOT(ANN,{y},,,RF)</t>
        </is>
      </c>
      <c r="D28" s="24" t="inlineStr">
        <is>
          <t>Chain</t>
        </is>
      </c>
      <c r="E28" s="26">
        <f>FDSC("-",E$6,"FFI_CAP_RATIO_TOT(ANN_L,"&amp;$C$3&amp;")@FF_CAP_RATIO_TOT(ANN_R,"&amp;$C$3&amp;")@FB_CAP_RATIO_TOT(ANN,"&amp;$C$3&amp;",,,RF)")</f>
        <v/>
      </c>
      <c r="F28" s="26">
        <f>FDSC("-",F$6,"FFI_CAP_RATIO_TOT(ANN_L,"&amp;$C$3&amp;")@FF_CAP_RATIO_TOT(ANN_R,"&amp;$C$3&amp;")@FB_CAP_RATIO_TOT(ANN,"&amp;$C$3&amp;",,,RF)")</f>
        <v/>
      </c>
      <c r="G28" s="26">
        <f>FDSC("-",G$6,"FFI_CAP_RATIO_TOT(ANN_L,"&amp;$C$3&amp;")@FF_CAP_RATIO_TOT(ANN_R,"&amp;$C$3&amp;")@FB_CAP_RATIO_TOT(ANN,"&amp;$C$3&amp;",,,RF)")</f>
        <v/>
      </c>
      <c r="H28" s="26">
        <f>FDSC("-",H$6,"FFI_CAP_RATIO_TOT(ANN_L,"&amp;$C$3&amp;")@FF_CAP_RATIO_TOT(ANN_R,"&amp;$C$3&amp;")@FB_CAP_RATIO_TOT(ANN,"&amp;$C$3&amp;",,,RF)")</f>
        <v/>
      </c>
      <c r="I28" s="26">
        <f>FDSC("-",I$6,"FFI_CAP_RATIO_TOT(ANN_L,"&amp;$C$3&amp;")@FF_CAP_RATIO_TOT(ANN_R,"&amp;$C$3&amp;")@FB_CAP_RATIO_TOT(ANN,"&amp;$C$3&amp;",,,RF)")</f>
        <v/>
      </c>
      <c r="J28" s="26">
        <f>FDSC("-",J$6,"FFI_CAP_RATIO_TOT(ANN_L,"&amp;$C$3&amp;")@FF_CAP_RATIO_TOT(ANN_R,"&amp;$C$3&amp;")@FB_CAP_RATIO_TOT(ANN,"&amp;$C$3&amp;",,,RF)")</f>
        <v/>
      </c>
    </row>
    <row r="29">
      <c r="A29" s="6" t="inlineStr"/>
      <c r="B29" s="2" t="inlineStr">
        <is>
          <t>Leverage ratio (%) - FFI</t>
        </is>
      </c>
      <c r="C29" s="11" t="inlineStr">
        <is>
          <t>FFI_LEV_RATIO_RPT(ANN_L,{y})</t>
        </is>
      </c>
      <c r="D29" s="12" t="inlineStr">
        <is>
          <t>Verified</t>
        </is>
      </c>
      <c r="E29" s="18">
        <f>FDSC("-",E$6,"FFI_LEV_RATIO_RPT(ANN_L,"&amp;$C$3&amp;")")</f>
        <v/>
      </c>
      <c r="F29" s="18">
        <f>FDSC("-",F$6,"FFI_LEV_RATIO_RPT(ANN_L,"&amp;$C$3&amp;")")</f>
        <v/>
      </c>
      <c r="G29" s="18">
        <f>FDSC("-",G$6,"FFI_LEV_RATIO_RPT(ANN_L,"&amp;$C$3&amp;")")</f>
        <v/>
      </c>
      <c r="H29" s="18">
        <f>FDSC("-",H$6,"FFI_LEV_RATIO_RPT(ANN_L,"&amp;$C$3&amp;")")</f>
        <v/>
      </c>
      <c r="I29" s="18">
        <f>FDSC("-",I$6,"FFI_LEV_RATIO_RPT(ANN_L,"&amp;$C$3&amp;")")</f>
        <v/>
      </c>
      <c r="J29" s="18">
        <f>FDSC("-",J$6,"FFI_LEV_RATIO_RPT(ANN_L,"&amp;$C$3&amp;")")</f>
        <v/>
      </c>
    </row>
    <row r="30">
      <c r="A30" s="6" t="inlineStr"/>
      <c r="B30" s="2" t="inlineStr">
        <is>
          <t>Leverage ratio (%) - FF</t>
        </is>
      </c>
      <c r="C30" s="11" t="inlineStr">
        <is>
          <t>FF_BK_LEV_RATIO(ANN_R,{y})</t>
        </is>
      </c>
      <c r="D30" s="12" t="inlineStr">
        <is>
          <t>Verified</t>
        </is>
      </c>
      <c r="E30" s="18">
        <f>FDSC("-",E$6,"FF_BK_LEV_RATIO(ANN_R,"&amp;$C$3&amp;")")</f>
        <v/>
      </c>
      <c r="F30" s="18">
        <f>FDSC("-",F$6,"FF_BK_LEV_RATIO(ANN_R,"&amp;$C$3&amp;")")</f>
        <v/>
      </c>
      <c r="G30" s="18">
        <f>FDSC("-",G$6,"FF_BK_LEV_RATIO(ANN_R,"&amp;$C$3&amp;")")</f>
        <v/>
      </c>
      <c r="H30" s="18">
        <f>FDSC("-",H$6,"FF_BK_LEV_RATIO(ANN_R,"&amp;$C$3&amp;")")</f>
        <v/>
      </c>
      <c r="I30" s="18">
        <f>FDSC("-",I$6,"FF_BK_LEV_RATIO(ANN_R,"&amp;$C$3&amp;")")</f>
        <v/>
      </c>
      <c r="J30" s="18">
        <f>FDSC("-",J$6,"FF_BK_LEV_RATIO(ANN_R,"&amp;$C$3&amp;")")</f>
        <v/>
      </c>
    </row>
    <row r="31">
      <c r="A31" s="6" t="inlineStr"/>
      <c r="B31" s="2" t="inlineStr">
        <is>
          <t>Leverage ratio (%) - FB (US only)</t>
        </is>
      </c>
      <c r="C31" s="11" t="inlineStr">
        <is>
          <t>FB_LEV_RATIO(ANN,{y},,,RF)</t>
        </is>
      </c>
      <c r="D31" s="12" t="inlineStr">
        <is>
          <t>Verified</t>
        </is>
      </c>
      <c r="E31" s="18">
        <f>FDSC("-",E$6,"FB_LEV_RATIO(ANN,"&amp;$C$3&amp;",,,RF)")</f>
        <v/>
      </c>
      <c r="F31" s="18">
        <f>FDSC("-",F$6,"FB_LEV_RATIO(ANN,"&amp;$C$3&amp;",,,RF)")</f>
        <v/>
      </c>
      <c r="G31" s="18">
        <f>FDSC("-",G$6,"FB_LEV_RATIO(ANN,"&amp;$C$3&amp;",,,RF)")</f>
        <v/>
      </c>
      <c r="H31" s="18">
        <f>FDSC("-",H$6,"FB_LEV_RATIO(ANN,"&amp;$C$3&amp;",,,RF)")</f>
        <v/>
      </c>
      <c r="I31" s="18">
        <f>FDSC("-",I$6,"FB_LEV_RATIO(ANN,"&amp;$C$3&amp;",,,RF)")</f>
        <v/>
      </c>
      <c r="J31" s="18">
        <f>FDSC("-",J$6,"FB_LEV_RATIO(ANN,"&amp;$C$3&amp;",,,RF)")</f>
        <v/>
      </c>
    </row>
    <row r="32">
      <c r="A32" s="6" t="inlineStr"/>
      <c r="B32" s="7" t="inlineStr">
        <is>
          <t>Leverage ratio (%) - CHAIN (FFI@FF@FB)</t>
        </is>
      </c>
      <c r="C32" s="11" t="inlineStr">
        <is>
          <t>FFI_LEV_RATIO_RPT(ANN_L,{y})@FF_BK_LEV_RATIO(ANN_R,{y})@FB_LEV_RATIO(ANN,{y},,,RF)</t>
        </is>
      </c>
      <c r="D32" s="24" t="inlineStr">
        <is>
          <t>Chain</t>
        </is>
      </c>
      <c r="E32" s="26">
        <f>FDSC("-",E$6,"FFI_LEV_RATIO_RPT(ANN_L,"&amp;$C$3&amp;")@FF_BK_LEV_RATIO(ANN_R,"&amp;$C$3&amp;")@FB_LEV_RATIO(ANN,"&amp;$C$3&amp;",,,RF)")</f>
        <v/>
      </c>
      <c r="F32" s="26">
        <f>FDSC("-",F$6,"FFI_LEV_RATIO_RPT(ANN_L,"&amp;$C$3&amp;")@FF_BK_LEV_RATIO(ANN_R,"&amp;$C$3&amp;")@FB_LEV_RATIO(ANN,"&amp;$C$3&amp;",,,RF)")</f>
        <v/>
      </c>
      <c r="G32" s="26">
        <f>FDSC("-",G$6,"FFI_LEV_RATIO_RPT(ANN_L,"&amp;$C$3&amp;")@FF_BK_LEV_RATIO(ANN_R,"&amp;$C$3&amp;")@FB_LEV_RATIO(ANN,"&amp;$C$3&amp;",,,RF)")</f>
        <v/>
      </c>
      <c r="H32" s="26">
        <f>FDSC("-",H$6,"FFI_LEV_RATIO_RPT(ANN_L,"&amp;$C$3&amp;")@FF_BK_LEV_RATIO(ANN_R,"&amp;$C$3&amp;")@FB_LEV_RATIO(ANN,"&amp;$C$3&amp;",,,RF)")</f>
        <v/>
      </c>
      <c r="I32" s="26">
        <f>FDSC("-",I$6,"FFI_LEV_RATIO_RPT(ANN_L,"&amp;$C$3&amp;")@FF_BK_LEV_RATIO(ANN_R,"&amp;$C$3&amp;")@FB_LEV_RATIO(ANN,"&amp;$C$3&amp;",,,RF)")</f>
        <v/>
      </c>
      <c r="J32" s="26">
        <f>FDSC("-",J$6,"FFI_LEV_RATIO_RPT(ANN_L,"&amp;$C$3&amp;")@FF_BK_LEV_RATIO(ANN_R,"&amp;$C$3&amp;")@FB_LEV_RATIO(ANN,"&amp;$C$3&amp;",,,RF)")</f>
        <v/>
      </c>
    </row>
    <row r="33">
      <c r="A33" s="6" t="inlineStr"/>
      <c r="B33" s="2" t="inlineStr">
        <is>
          <t>RWA ($M) - FFI</t>
        </is>
      </c>
      <c r="C33" s="11" t="inlineStr">
        <is>
          <t>FFI_RWA(ANN_L,{y},,,,USD)</t>
        </is>
      </c>
      <c r="D33" s="12" t="inlineStr">
        <is>
          <t>Verified</t>
        </is>
      </c>
      <c r="E33" s="17">
        <f>FDSC("-",E$6,"FFI_RWA(ANN_L,"&amp;$C$3&amp;",,,,USD)")</f>
        <v/>
      </c>
      <c r="F33" s="17">
        <f>FDSC("-",F$6,"FFI_RWA(ANN_L,"&amp;$C$3&amp;",,,,USD)")</f>
        <v/>
      </c>
      <c r="G33" s="17">
        <f>FDSC("-",G$6,"FFI_RWA(ANN_L,"&amp;$C$3&amp;",,,,USD)")</f>
        <v/>
      </c>
      <c r="H33" s="17">
        <f>FDSC("-",H$6,"FFI_RWA(ANN_L,"&amp;$C$3&amp;",,,,USD)")</f>
        <v/>
      </c>
      <c r="I33" s="17">
        <f>FDSC("-",I$6,"FFI_RWA(ANN_L,"&amp;$C$3&amp;",,,,USD)")</f>
        <v/>
      </c>
      <c r="J33" s="17">
        <f>FDSC("-",J$6,"FFI_RWA(ANN_L,"&amp;$C$3&amp;",,,,USD)")</f>
        <v/>
      </c>
    </row>
    <row r="34">
      <c r="A34" s="6" t="inlineStr"/>
      <c r="B34" s="2" t="inlineStr">
        <is>
          <t>RWA ($M) - FF</t>
        </is>
      </c>
      <c r="C34" s="11" t="inlineStr">
        <is>
          <t>FF_ASSETS_RISK_WGHT(ANN_R,{y},,,,USD)</t>
        </is>
      </c>
      <c r="D34" s="12" t="inlineStr">
        <is>
          <t>Verified</t>
        </is>
      </c>
      <c r="E34" s="17">
        <f>FDSC("-",E$6,"FF_ASSETS_RISK_WGHT(ANN_R,"&amp;$C$3&amp;",,,,USD)")</f>
        <v/>
      </c>
      <c r="F34" s="17">
        <f>FDSC("-",F$6,"FF_ASSETS_RISK_WGHT(ANN_R,"&amp;$C$3&amp;",,,,USD)")</f>
        <v/>
      </c>
      <c r="G34" s="17">
        <f>FDSC("-",G$6,"FF_ASSETS_RISK_WGHT(ANN_R,"&amp;$C$3&amp;",,,,USD)")</f>
        <v/>
      </c>
      <c r="H34" s="17">
        <f>FDSC("-",H$6,"FF_ASSETS_RISK_WGHT(ANN_R,"&amp;$C$3&amp;",,,,USD)")</f>
        <v/>
      </c>
      <c r="I34" s="17">
        <f>FDSC("-",I$6,"FF_ASSETS_RISK_WGHT(ANN_R,"&amp;$C$3&amp;",,,,USD)")</f>
        <v/>
      </c>
      <c r="J34" s="17">
        <f>FDSC("-",J$6,"FF_ASSETS_RISK_WGHT(ANN_R,"&amp;$C$3&amp;",,,,USD)")</f>
        <v/>
      </c>
    </row>
    <row r="35">
      <c r="A35" s="6" t="inlineStr"/>
      <c r="B35" s="2" t="inlineStr">
        <is>
          <t>RWA ($M) - FB (US only)</t>
        </is>
      </c>
      <c r="C35" s="11" t="inlineStr">
        <is>
          <t>FB_ASSETS_RISK_WGHT(ANN,{y},,,RF,USD)</t>
        </is>
      </c>
      <c r="D35" s="12" t="inlineStr">
        <is>
          <t>Verified</t>
        </is>
      </c>
      <c r="E35" s="17">
        <f>FDSC("-",E$6,"FB_ASSETS_RISK_WGHT(ANN,"&amp;$C$3&amp;",,,RF,USD)")</f>
        <v/>
      </c>
      <c r="F35" s="17">
        <f>FDSC("-",F$6,"FB_ASSETS_RISK_WGHT(ANN,"&amp;$C$3&amp;",,,RF,USD)")</f>
        <v/>
      </c>
      <c r="G35" s="17">
        <f>FDSC("-",G$6,"FB_ASSETS_RISK_WGHT(ANN,"&amp;$C$3&amp;",,,RF,USD)")</f>
        <v/>
      </c>
      <c r="H35" s="17">
        <f>FDSC("-",H$6,"FB_ASSETS_RISK_WGHT(ANN,"&amp;$C$3&amp;",,,RF,USD)")</f>
        <v/>
      </c>
      <c r="I35" s="17">
        <f>FDSC("-",I$6,"FB_ASSETS_RISK_WGHT(ANN,"&amp;$C$3&amp;",,,RF,USD)")</f>
        <v/>
      </c>
      <c r="J35" s="17">
        <f>FDSC("-",J$6,"FB_ASSETS_RISK_WGHT(ANN,"&amp;$C$3&amp;",,,RF,USD)")</f>
        <v/>
      </c>
    </row>
    <row r="36">
      <c r="A36" s="6" t="inlineStr"/>
      <c r="B36" s="7" t="inlineStr">
        <is>
          <t>RWA ($M) - CHAIN (FFI@FF@FB)</t>
        </is>
      </c>
      <c r="C36" s="11" t="inlineStr">
        <is>
          <t>FFI_RWA(ANN_L,{y},,,,USD)@FF_ASSETS_RISK_WGHT(ANN_R,{y},,,,USD)@FB_ASSETS_RISK_WGHT(ANN,{y},,,RF,USD)</t>
        </is>
      </c>
      <c r="D36" s="24" t="inlineStr">
        <is>
          <t>Chain</t>
        </is>
      </c>
      <c r="E36" s="25">
        <f>FDSC("-",E$6,"FFI_RWA(ANN_L,"&amp;$C$3&amp;",,,,USD)@FF_ASSETS_RISK_WGHT(ANN_R,"&amp;$C$3&amp;",,,,USD)@FB_ASSETS_RISK_WGHT(ANN,"&amp;$C$3&amp;",,,RF,USD)")</f>
        <v/>
      </c>
      <c r="F36" s="25">
        <f>FDSC("-",F$6,"FFI_RWA(ANN_L,"&amp;$C$3&amp;",,,,USD)@FF_ASSETS_RISK_WGHT(ANN_R,"&amp;$C$3&amp;",,,,USD)@FB_ASSETS_RISK_WGHT(ANN,"&amp;$C$3&amp;",,,RF,USD)")</f>
        <v/>
      </c>
      <c r="G36" s="25">
        <f>FDSC("-",G$6,"FFI_RWA(ANN_L,"&amp;$C$3&amp;",,,,USD)@FF_ASSETS_RISK_WGHT(ANN_R,"&amp;$C$3&amp;",,,,USD)@FB_ASSETS_RISK_WGHT(ANN,"&amp;$C$3&amp;",,,RF,USD)")</f>
        <v/>
      </c>
      <c r="H36" s="25">
        <f>FDSC("-",H$6,"FFI_RWA(ANN_L,"&amp;$C$3&amp;",,,,USD)@FF_ASSETS_RISK_WGHT(ANN_R,"&amp;$C$3&amp;",,,,USD)@FB_ASSETS_RISK_WGHT(ANN,"&amp;$C$3&amp;",,,RF,USD)")</f>
        <v/>
      </c>
      <c r="I36" s="25">
        <f>FDSC("-",I$6,"FFI_RWA(ANN_L,"&amp;$C$3&amp;",,,,USD)@FF_ASSETS_RISK_WGHT(ANN_R,"&amp;$C$3&amp;",,,,USD)@FB_ASSETS_RISK_WGHT(ANN,"&amp;$C$3&amp;",,,RF,USD)")</f>
        <v/>
      </c>
      <c r="J36" s="25">
        <f>FDSC("-",J$6,"FFI_RWA(ANN_L,"&amp;$C$3&amp;",,,,USD)@FF_ASSETS_RISK_WGHT(ANN_R,"&amp;$C$3&amp;",,,,USD)@FB_ASSETS_RISK_WGHT(ANN,"&amp;$C$3&amp;",,,RF,USD)")</f>
        <v/>
      </c>
    </row>
    <row r="37">
      <c r="A37" s="14" t="inlineStr">
        <is>
          <t>Asset quality</t>
        </is>
      </c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</row>
    <row r="38">
      <c r="A38" s="6" t="inlineStr"/>
      <c r="B38" s="2" t="inlineStr">
        <is>
          <t>Non-performing loans ($M) - FFI</t>
        </is>
      </c>
      <c r="C38" s="11" t="inlineStr">
        <is>
          <t>FFI_NPL_LOAN_ADV(ANN_L,{y},,,,USD)</t>
        </is>
      </c>
      <c r="D38" s="12" t="inlineStr">
        <is>
          <t>Verified</t>
        </is>
      </c>
      <c r="E38" s="17">
        <f>FDSC("-",E$6,"FFI_NPL_LOAN_ADV(ANN_L,"&amp;$C$3&amp;",,,,USD)")</f>
        <v/>
      </c>
      <c r="F38" s="17">
        <f>FDSC("-",F$6,"FFI_NPL_LOAN_ADV(ANN_L,"&amp;$C$3&amp;",,,,USD)")</f>
        <v/>
      </c>
      <c r="G38" s="17">
        <f>FDSC("-",G$6,"FFI_NPL_LOAN_ADV(ANN_L,"&amp;$C$3&amp;",,,,USD)")</f>
        <v/>
      </c>
      <c r="H38" s="17">
        <f>FDSC("-",H$6,"FFI_NPL_LOAN_ADV(ANN_L,"&amp;$C$3&amp;",,,,USD)")</f>
        <v/>
      </c>
      <c r="I38" s="17">
        <f>FDSC("-",I$6,"FFI_NPL_LOAN_ADV(ANN_L,"&amp;$C$3&amp;",,,,USD)")</f>
        <v/>
      </c>
      <c r="J38" s="17">
        <f>FDSC("-",J$6,"FFI_NPL_LOAN_ADV(ANN_L,"&amp;$C$3&amp;",,,,USD)")</f>
        <v/>
      </c>
    </row>
    <row r="39">
      <c r="A39" s="6" t="inlineStr"/>
      <c r="B39" s="2" t="inlineStr">
        <is>
          <t>Non-performing loans ($M) - FF</t>
        </is>
      </c>
      <c r="C39" s="11" t="inlineStr">
        <is>
          <t>FF_LOAN_NONPERF(ANN_R,{y},,,,USD)</t>
        </is>
      </c>
      <c r="D39" s="12" t="inlineStr">
        <is>
          <t>Verified</t>
        </is>
      </c>
      <c r="E39" s="17">
        <f>FDSC("-",E$6,"FF_LOAN_NONPERF(ANN_R,"&amp;$C$3&amp;",,,,USD)")</f>
        <v/>
      </c>
      <c r="F39" s="17">
        <f>FDSC("-",F$6,"FF_LOAN_NONPERF(ANN_R,"&amp;$C$3&amp;",,,,USD)")</f>
        <v/>
      </c>
      <c r="G39" s="17">
        <f>FDSC("-",G$6,"FF_LOAN_NONPERF(ANN_R,"&amp;$C$3&amp;",,,,USD)")</f>
        <v/>
      </c>
      <c r="H39" s="17">
        <f>FDSC("-",H$6,"FF_LOAN_NONPERF(ANN_R,"&amp;$C$3&amp;",,,,USD)")</f>
        <v/>
      </c>
      <c r="I39" s="17">
        <f>FDSC("-",I$6,"FF_LOAN_NONPERF(ANN_R,"&amp;$C$3&amp;",,,,USD)")</f>
        <v/>
      </c>
      <c r="J39" s="17">
        <f>FDSC("-",J$6,"FF_LOAN_NONPERF(ANN_R,"&amp;$C$3&amp;",,,,USD)")</f>
        <v/>
      </c>
    </row>
    <row r="40">
      <c r="A40" s="6" t="inlineStr"/>
      <c r="B40" s="2" t="inlineStr">
        <is>
          <t>Non-performing loans ($M) - FB (US only)</t>
        </is>
      </c>
      <c r="C40" s="11" t="inlineStr">
        <is>
          <t>FB_NONPERF_LOAN(ANN,{y},,,RF,USD)</t>
        </is>
      </c>
      <c r="D40" s="12" t="inlineStr">
        <is>
          <t>Verified</t>
        </is>
      </c>
      <c r="E40" s="17">
        <f>FDSC("-",E$6,"FB_NONPERF_LOAN(ANN,"&amp;$C$3&amp;",,,RF,USD)")</f>
        <v/>
      </c>
      <c r="F40" s="17">
        <f>FDSC("-",F$6,"FB_NONPERF_LOAN(ANN,"&amp;$C$3&amp;",,,RF,USD)")</f>
        <v/>
      </c>
      <c r="G40" s="17">
        <f>FDSC("-",G$6,"FB_NONPERF_LOAN(ANN,"&amp;$C$3&amp;",,,RF,USD)")</f>
        <v/>
      </c>
      <c r="H40" s="17">
        <f>FDSC("-",H$6,"FB_NONPERF_LOAN(ANN,"&amp;$C$3&amp;",,,RF,USD)")</f>
        <v/>
      </c>
      <c r="I40" s="17">
        <f>FDSC("-",I$6,"FB_NONPERF_LOAN(ANN,"&amp;$C$3&amp;",,,RF,USD)")</f>
        <v/>
      </c>
      <c r="J40" s="17">
        <f>FDSC("-",J$6,"FB_NONPERF_LOAN(ANN,"&amp;$C$3&amp;",,,RF,USD)")</f>
        <v/>
      </c>
    </row>
    <row r="41">
      <c r="A41" s="6" t="inlineStr"/>
      <c r="B41" s="7" t="inlineStr">
        <is>
          <t>Non-performing loans ($M) - CHAIN (FFI@FF@FB)</t>
        </is>
      </c>
      <c r="C41" s="11" t="inlineStr">
        <is>
          <t>FFI_NPL_LOAN_ADV(ANN_L,{y},,,,USD)@FF_LOAN_NONPERF(ANN_R,{y},,,,USD)@FB_NONPERF_LOAN(ANN,{y},,,RF,USD)</t>
        </is>
      </c>
      <c r="D41" s="24" t="inlineStr">
        <is>
          <t>Chain</t>
        </is>
      </c>
      <c r="E41" s="25">
        <f>FDSC("-",E$6,"FFI_NPL_LOAN_ADV(ANN_L,"&amp;$C$3&amp;",,,,USD)@FF_LOAN_NONPERF(ANN_R,"&amp;$C$3&amp;",,,,USD)@FB_NONPERF_LOAN(ANN,"&amp;$C$3&amp;",,,RF,USD)")</f>
        <v/>
      </c>
      <c r="F41" s="25">
        <f>FDSC("-",F$6,"FFI_NPL_LOAN_ADV(ANN_L,"&amp;$C$3&amp;",,,,USD)@FF_LOAN_NONPERF(ANN_R,"&amp;$C$3&amp;",,,,USD)@FB_NONPERF_LOAN(ANN,"&amp;$C$3&amp;",,,RF,USD)")</f>
        <v/>
      </c>
      <c r="G41" s="25">
        <f>FDSC("-",G$6,"FFI_NPL_LOAN_ADV(ANN_L,"&amp;$C$3&amp;",,,,USD)@FF_LOAN_NONPERF(ANN_R,"&amp;$C$3&amp;",,,,USD)@FB_NONPERF_LOAN(ANN,"&amp;$C$3&amp;",,,RF,USD)")</f>
        <v/>
      </c>
      <c r="H41" s="25">
        <f>FDSC("-",H$6,"FFI_NPL_LOAN_ADV(ANN_L,"&amp;$C$3&amp;",,,,USD)@FF_LOAN_NONPERF(ANN_R,"&amp;$C$3&amp;",,,,USD)@FB_NONPERF_LOAN(ANN,"&amp;$C$3&amp;",,,RF,USD)")</f>
        <v/>
      </c>
      <c r="I41" s="25">
        <f>FDSC("-",I$6,"FFI_NPL_LOAN_ADV(ANN_L,"&amp;$C$3&amp;",,,,USD)@FF_LOAN_NONPERF(ANN_R,"&amp;$C$3&amp;",,,,USD)@FB_NONPERF_LOAN(ANN,"&amp;$C$3&amp;",,,RF,USD)")</f>
        <v/>
      </c>
      <c r="J41" s="25">
        <f>FDSC("-",J$6,"FFI_NPL_LOAN_ADV(ANN_L,"&amp;$C$3&amp;",,,,USD)@FF_LOAN_NONPERF(ANN_R,"&amp;$C$3&amp;",,,,USD)@FB_NONPERF_LOAN(ANN,"&amp;$C$3&amp;",,,RF,USD)")</f>
        <v/>
      </c>
    </row>
    <row r="42">
      <c r="A42" s="6" t="inlineStr"/>
      <c r="B42" s="2" t="inlineStr">
        <is>
          <t>Provision for credit losses ($M) - FFI</t>
        </is>
      </c>
      <c r="C42" s="11" t="inlineStr">
        <is>
          <t>FFI_LOAN_LOSS_PROV(ANN_L,{y},,,,USD)</t>
        </is>
      </c>
      <c r="D42" s="12" t="inlineStr">
        <is>
          <t>Verified</t>
        </is>
      </c>
      <c r="E42" s="17">
        <f>FDSC("-",E$6,"FFI_LOAN_LOSS_PROV(ANN_L,"&amp;$C$3&amp;",,,,USD)")</f>
        <v/>
      </c>
      <c r="F42" s="17">
        <f>FDSC("-",F$6,"FFI_LOAN_LOSS_PROV(ANN_L,"&amp;$C$3&amp;",,,,USD)")</f>
        <v/>
      </c>
      <c r="G42" s="17">
        <f>FDSC("-",G$6,"FFI_LOAN_LOSS_PROV(ANN_L,"&amp;$C$3&amp;",,,,USD)")</f>
        <v/>
      </c>
      <c r="H42" s="17">
        <f>FDSC("-",H$6,"FFI_LOAN_LOSS_PROV(ANN_L,"&amp;$C$3&amp;",,,,USD)")</f>
        <v/>
      </c>
      <c r="I42" s="17">
        <f>FDSC("-",I$6,"FFI_LOAN_LOSS_PROV(ANN_L,"&amp;$C$3&amp;",,,,USD)")</f>
        <v/>
      </c>
      <c r="J42" s="17">
        <f>FDSC("-",J$6,"FFI_LOAN_LOSS_PROV(ANN_L,"&amp;$C$3&amp;",,,,USD)")</f>
        <v/>
      </c>
    </row>
    <row r="43">
      <c r="A43" s="6" t="inlineStr"/>
      <c r="B43" s="2" t="inlineStr">
        <is>
          <t>Provision for credit losses ($M) - FF</t>
        </is>
      </c>
      <c r="C43" s="11" t="inlineStr">
        <is>
          <t>FF_LOAN_LOSS_PROV(ANN_R,{y},,,,USD)</t>
        </is>
      </c>
      <c r="D43" s="12" t="inlineStr">
        <is>
          <t>Verified</t>
        </is>
      </c>
      <c r="E43" s="17">
        <f>FDSC("-",E$6,"FF_LOAN_LOSS_PROV(ANN_R,"&amp;$C$3&amp;",,,,USD)")</f>
        <v/>
      </c>
      <c r="F43" s="17">
        <f>FDSC("-",F$6,"FF_LOAN_LOSS_PROV(ANN_R,"&amp;$C$3&amp;",,,,USD)")</f>
        <v/>
      </c>
      <c r="G43" s="17">
        <f>FDSC("-",G$6,"FF_LOAN_LOSS_PROV(ANN_R,"&amp;$C$3&amp;",,,,USD)")</f>
        <v/>
      </c>
      <c r="H43" s="17">
        <f>FDSC("-",H$6,"FF_LOAN_LOSS_PROV(ANN_R,"&amp;$C$3&amp;",,,,USD)")</f>
        <v/>
      </c>
      <c r="I43" s="17">
        <f>FDSC("-",I$6,"FF_LOAN_LOSS_PROV(ANN_R,"&amp;$C$3&amp;",,,,USD)")</f>
        <v/>
      </c>
      <c r="J43" s="17">
        <f>FDSC("-",J$6,"FF_LOAN_LOSS_PROV(ANN_R,"&amp;$C$3&amp;",,,,USD)")</f>
        <v/>
      </c>
    </row>
    <row r="44">
      <c r="A44" s="6" t="inlineStr"/>
      <c r="B44" s="2" t="inlineStr">
        <is>
          <t>Provision for credit losses ($M) - FB (US only)</t>
        </is>
      </c>
      <c r="C44" s="11" t="inlineStr">
        <is>
          <t>FB_LOAN_LOSS_PROV(ANN,{y},,,RF,USD)</t>
        </is>
      </c>
      <c r="D44" s="12" t="inlineStr">
        <is>
          <t>Verified</t>
        </is>
      </c>
      <c r="E44" s="17">
        <f>FDSC("-",E$6,"FB_LOAN_LOSS_PROV(ANN,"&amp;$C$3&amp;",,,RF,USD)")</f>
        <v/>
      </c>
      <c r="F44" s="17">
        <f>FDSC("-",F$6,"FB_LOAN_LOSS_PROV(ANN,"&amp;$C$3&amp;",,,RF,USD)")</f>
        <v/>
      </c>
      <c r="G44" s="17">
        <f>FDSC("-",G$6,"FB_LOAN_LOSS_PROV(ANN,"&amp;$C$3&amp;",,,RF,USD)")</f>
        <v/>
      </c>
      <c r="H44" s="17">
        <f>FDSC("-",H$6,"FB_LOAN_LOSS_PROV(ANN,"&amp;$C$3&amp;",,,RF,USD)")</f>
        <v/>
      </c>
      <c r="I44" s="17">
        <f>FDSC("-",I$6,"FB_LOAN_LOSS_PROV(ANN,"&amp;$C$3&amp;",,,RF,USD)")</f>
        <v/>
      </c>
      <c r="J44" s="17">
        <f>FDSC("-",J$6,"FB_LOAN_LOSS_PROV(ANN,"&amp;$C$3&amp;",,,RF,USD)")</f>
        <v/>
      </c>
    </row>
    <row r="45">
      <c r="A45" s="6" t="inlineStr"/>
      <c r="B45" s="7" t="inlineStr">
        <is>
          <t>Provision for credit losses ($M) - CHAIN (FFI@FF@FB)</t>
        </is>
      </c>
      <c r="C45" s="11" t="inlineStr">
        <is>
          <t>FFI_LOAN_LOSS_PROV(ANN_L,{y},,,,USD)@FF_LOAN_LOSS_PROV(ANN_R,{y},,,,USD)@FB_LOAN_LOSS_PROV(ANN,{y},,,RF,USD)</t>
        </is>
      </c>
      <c r="D45" s="24" t="inlineStr">
        <is>
          <t>Chain</t>
        </is>
      </c>
      <c r="E45" s="25">
        <f>FDSC("-",E$6,"FFI_LOAN_LOSS_PROV(ANN_L,"&amp;$C$3&amp;",,,,USD)@FF_LOAN_LOSS_PROV(ANN_R,"&amp;$C$3&amp;",,,,USD)@FB_LOAN_LOSS_PROV(ANN,"&amp;$C$3&amp;",,,RF,USD)")</f>
        <v/>
      </c>
      <c r="F45" s="25">
        <f>FDSC("-",F$6,"FFI_LOAN_LOSS_PROV(ANN_L,"&amp;$C$3&amp;",,,,USD)@FF_LOAN_LOSS_PROV(ANN_R,"&amp;$C$3&amp;",,,,USD)@FB_LOAN_LOSS_PROV(ANN,"&amp;$C$3&amp;",,,RF,USD)")</f>
        <v/>
      </c>
      <c r="G45" s="25">
        <f>FDSC("-",G$6,"FFI_LOAN_LOSS_PROV(ANN_L,"&amp;$C$3&amp;",,,,USD)@FF_LOAN_LOSS_PROV(ANN_R,"&amp;$C$3&amp;",,,,USD)@FB_LOAN_LOSS_PROV(ANN,"&amp;$C$3&amp;",,,RF,USD)")</f>
        <v/>
      </c>
      <c r="H45" s="25">
        <f>FDSC("-",H$6,"FFI_LOAN_LOSS_PROV(ANN_L,"&amp;$C$3&amp;",,,,USD)@FF_LOAN_LOSS_PROV(ANN_R,"&amp;$C$3&amp;",,,,USD)@FB_LOAN_LOSS_PROV(ANN,"&amp;$C$3&amp;",,,RF,USD)")</f>
        <v/>
      </c>
      <c r="I45" s="25">
        <f>FDSC("-",I$6,"FFI_LOAN_LOSS_PROV(ANN_L,"&amp;$C$3&amp;",,,,USD)@FF_LOAN_LOSS_PROV(ANN_R,"&amp;$C$3&amp;",,,,USD)@FB_LOAN_LOSS_PROV(ANN,"&amp;$C$3&amp;",,,RF,USD)")</f>
        <v/>
      </c>
      <c r="J45" s="25">
        <f>FDSC("-",J$6,"FFI_LOAN_LOSS_PROV(ANN_L,"&amp;$C$3&amp;",,,,USD)@FF_LOAN_LOSS_PROV(ANN_R,"&amp;$C$3&amp;",,,,USD)@FB_LOAN_LOSS_PROV(ANN,"&amp;$C$3&amp;",,,RF,USD)")</f>
        <v/>
      </c>
    </row>
    <row r="46">
      <c r="A46" s="6" t="inlineStr"/>
      <c r="B46" s="2" t="inlineStr">
        <is>
          <t>Net charge-offs ($M) - FFI</t>
        </is>
      </c>
      <c r="C46" s="11" t="inlineStr">
        <is>
          <t>FFI_CHRG_OFF_NET(ANN_L,{y},,,,USD)</t>
        </is>
      </c>
      <c r="D46" s="12" t="inlineStr">
        <is>
          <t>Verified</t>
        </is>
      </c>
      <c r="E46" s="17">
        <f>FDSC("-",E$6,"FFI_CHRG_OFF_NET(ANN_L,"&amp;$C$3&amp;",,,,USD)")</f>
        <v/>
      </c>
      <c r="F46" s="17">
        <f>FDSC("-",F$6,"FFI_CHRG_OFF_NET(ANN_L,"&amp;$C$3&amp;",,,,USD)")</f>
        <v/>
      </c>
      <c r="G46" s="17">
        <f>FDSC("-",G$6,"FFI_CHRG_OFF_NET(ANN_L,"&amp;$C$3&amp;",,,,USD)")</f>
        <v/>
      </c>
      <c r="H46" s="17">
        <f>FDSC("-",H$6,"FFI_CHRG_OFF_NET(ANN_L,"&amp;$C$3&amp;",,,,USD)")</f>
        <v/>
      </c>
      <c r="I46" s="17">
        <f>FDSC("-",I$6,"FFI_CHRG_OFF_NET(ANN_L,"&amp;$C$3&amp;",,,,USD)")</f>
        <v/>
      </c>
      <c r="J46" s="17">
        <f>FDSC("-",J$6,"FFI_CHRG_OFF_NET(ANN_L,"&amp;$C$3&amp;",,,,USD)")</f>
        <v/>
      </c>
    </row>
    <row r="47">
      <c r="A47" s="6" t="inlineStr"/>
      <c r="B47" s="2" t="inlineStr">
        <is>
          <t>NPLs / allowance (%) - FFI</t>
        </is>
      </c>
      <c r="C47" s="11" t="inlineStr">
        <is>
          <t>FFI_NPL_LOAN_LOSS_RSRV_RATIO(ANN_L,{y})</t>
        </is>
      </c>
      <c r="D47" s="12" t="inlineStr">
        <is>
          <t>Verified</t>
        </is>
      </c>
      <c r="E47" s="18">
        <f>FDSC("-",E$6,"FFI_NPL_LOAN_LOSS_RSRV_RATIO(ANN_L,"&amp;$C$3&amp;")")</f>
        <v/>
      </c>
      <c r="F47" s="18">
        <f>FDSC("-",F$6,"FFI_NPL_LOAN_LOSS_RSRV_RATIO(ANN_L,"&amp;$C$3&amp;")")</f>
        <v/>
      </c>
      <c r="G47" s="18">
        <f>FDSC("-",G$6,"FFI_NPL_LOAN_LOSS_RSRV_RATIO(ANN_L,"&amp;$C$3&amp;")")</f>
        <v/>
      </c>
      <c r="H47" s="18">
        <f>FDSC("-",H$6,"FFI_NPL_LOAN_LOSS_RSRV_RATIO(ANN_L,"&amp;$C$3&amp;")")</f>
        <v/>
      </c>
      <c r="I47" s="18">
        <f>FDSC("-",I$6,"FFI_NPL_LOAN_LOSS_RSRV_RATIO(ANN_L,"&amp;$C$3&amp;")")</f>
        <v/>
      </c>
      <c r="J47" s="18">
        <f>FDSC("-",J$6,"FFI_NPL_LOAN_LOSS_RSRV_RATIO(ANN_L,"&amp;$C$3&amp;")")</f>
        <v/>
      </c>
    </row>
    <row r="48">
      <c r="A48" s="6" t="inlineStr"/>
      <c r="B48" s="2" t="inlineStr">
        <is>
          <t>NPLs / allowance (%) - FF</t>
        </is>
      </c>
      <c r="C48" s="11" t="inlineStr">
        <is>
          <t>FF_NONPERF_LOAN_LOSS_RSRV(ANN_R,{y})</t>
        </is>
      </c>
      <c r="D48" s="12" t="inlineStr">
        <is>
          <t>Verified</t>
        </is>
      </c>
      <c r="E48" s="18">
        <f>FDSC("-",E$6,"FF_NONPERF_LOAN_LOSS_RSRV(ANN_R,"&amp;$C$3&amp;")")</f>
        <v/>
      </c>
      <c r="F48" s="18">
        <f>FDSC("-",F$6,"FF_NONPERF_LOAN_LOSS_RSRV(ANN_R,"&amp;$C$3&amp;")")</f>
        <v/>
      </c>
      <c r="G48" s="18">
        <f>FDSC("-",G$6,"FF_NONPERF_LOAN_LOSS_RSRV(ANN_R,"&amp;$C$3&amp;")")</f>
        <v/>
      </c>
      <c r="H48" s="18">
        <f>FDSC("-",H$6,"FF_NONPERF_LOAN_LOSS_RSRV(ANN_R,"&amp;$C$3&amp;")")</f>
        <v/>
      </c>
      <c r="I48" s="18">
        <f>FDSC("-",I$6,"FF_NONPERF_LOAN_LOSS_RSRV(ANN_R,"&amp;$C$3&amp;")")</f>
        <v/>
      </c>
      <c r="J48" s="18">
        <f>FDSC("-",J$6,"FF_NONPERF_LOAN_LOSS_RSRV(ANN_R,"&amp;$C$3&amp;")")</f>
        <v/>
      </c>
    </row>
    <row r="49">
      <c r="A49" s="6" t="inlineStr"/>
      <c r="B49" s="7" t="inlineStr">
        <is>
          <t>NPLs / allowance (%) - CHAIN (FFI@FF@FB)</t>
        </is>
      </c>
      <c r="C49" s="11" t="inlineStr">
        <is>
          <t>FFI_NPL_LOAN_LOSS_RSRV_RATIO(ANN_L,{y})@FF_NONPERF_LOAN_LOSS_RSRV(ANN_R,{y})</t>
        </is>
      </c>
      <c r="D49" s="24" t="inlineStr">
        <is>
          <t>Chain</t>
        </is>
      </c>
      <c r="E49" s="26">
        <f>FDSC("-",E$6,"FFI_NPL_LOAN_LOSS_RSRV_RATIO(ANN_L,"&amp;$C$3&amp;")@FF_NONPERF_LOAN_LOSS_RSRV(ANN_R,"&amp;$C$3&amp;")")</f>
        <v/>
      </c>
      <c r="F49" s="26">
        <f>FDSC("-",F$6,"FFI_NPL_LOAN_LOSS_RSRV_RATIO(ANN_L,"&amp;$C$3&amp;")@FF_NONPERF_LOAN_LOSS_RSRV(ANN_R,"&amp;$C$3&amp;")")</f>
        <v/>
      </c>
      <c r="G49" s="26">
        <f>FDSC("-",G$6,"FFI_NPL_LOAN_LOSS_RSRV_RATIO(ANN_L,"&amp;$C$3&amp;")@FF_NONPERF_LOAN_LOSS_RSRV(ANN_R,"&amp;$C$3&amp;")")</f>
        <v/>
      </c>
      <c r="H49" s="26">
        <f>FDSC("-",H$6,"FFI_NPL_LOAN_LOSS_RSRV_RATIO(ANN_L,"&amp;$C$3&amp;")@FF_NONPERF_LOAN_LOSS_RSRV(ANN_R,"&amp;$C$3&amp;")")</f>
        <v/>
      </c>
      <c r="I49" s="26">
        <f>FDSC("-",I$6,"FFI_NPL_LOAN_LOSS_RSRV_RATIO(ANN_L,"&amp;$C$3&amp;")@FF_NONPERF_LOAN_LOSS_RSRV(ANN_R,"&amp;$C$3&amp;")")</f>
        <v/>
      </c>
      <c r="J49" s="26">
        <f>FDSC("-",J$6,"FFI_NPL_LOAN_LOSS_RSRV_RATIO(ANN_L,"&amp;$C$3&amp;")@FF_NONPERF_LOAN_LOSS_RSRV(ANN_R,"&amp;$C$3&amp;")")</f>
        <v/>
      </c>
    </row>
    <row r="50">
      <c r="A50" s="6" t="inlineStr"/>
      <c r="B50" s="2" t="inlineStr">
        <is>
          <t>NPLs / loans (%) - FFI</t>
        </is>
      </c>
      <c r="C50" s="11" t="inlineStr">
        <is>
          <t>FFI_NPL_LOAN_RATIO(ANN_L,{y})</t>
        </is>
      </c>
      <c r="D50" s="12" t="inlineStr">
        <is>
          <t>Verified</t>
        </is>
      </c>
      <c r="E50" s="18">
        <f>FDSC("-",E$6,"FFI_NPL_LOAN_RATIO(ANN_L,"&amp;$C$3&amp;")")</f>
        <v/>
      </c>
      <c r="F50" s="18">
        <f>FDSC("-",F$6,"FFI_NPL_LOAN_RATIO(ANN_L,"&amp;$C$3&amp;")")</f>
        <v/>
      </c>
      <c r="G50" s="18">
        <f>FDSC("-",G$6,"FFI_NPL_LOAN_RATIO(ANN_L,"&amp;$C$3&amp;")")</f>
        <v/>
      </c>
      <c r="H50" s="18">
        <f>FDSC("-",H$6,"FFI_NPL_LOAN_RATIO(ANN_L,"&amp;$C$3&amp;")")</f>
        <v/>
      </c>
      <c r="I50" s="18">
        <f>FDSC("-",I$6,"FFI_NPL_LOAN_RATIO(ANN_L,"&amp;$C$3&amp;")")</f>
        <v/>
      </c>
      <c r="J50" s="18">
        <f>FDSC("-",J$6,"FFI_NPL_LOAN_RATIO(ANN_L,"&amp;$C$3&amp;")")</f>
        <v/>
      </c>
    </row>
    <row r="51">
      <c r="A51" s="6" t="inlineStr"/>
      <c r="B51" s="2" t="inlineStr">
        <is>
          <t>NPLs / loans (%) - FF</t>
        </is>
      </c>
      <c r="C51" s="11" t="inlineStr">
        <is>
          <t>FF_NONPERF_LOAN_PCT(ANN_R,{y})</t>
        </is>
      </c>
      <c r="D51" s="12" t="inlineStr">
        <is>
          <t>Verified</t>
        </is>
      </c>
      <c r="E51" s="18">
        <f>FDSC("-",E$6,"FF_NONPERF_LOAN_PCT(ANN_R,"&amp;$C$3&amp;")")</f>
        <v/>
      </c>
      <c r="F51" s="18">
        <f>FDSC("-",F$6,"FF_NONPERF_LOAN_PCT(ANN_R,"&amp;$C$3&amp;")")</f>
        <v/>
      </c>
      <c r="G51" s="18">
        <f>FDSC("-",G$6,"FF_NONPERF_LOAN_PCT(ANN_R,"&amp;$C$3&amp;")")</f>
        <v/>
      </c>
      <c r="H51" s="18">
        <f>FDSC("-",H$6,"FF_NONPERF_LOAN_PCT(ANN_R,"&amp;$C$3&amp;")")</f>
        <v/>
      </c>
      <c r="I51" s="18">
        <f>FDSC("-",I$6,"FF_NONPERF_LOAN_PCT(ANN_R,"&amp;$C$3&amp;")")</f>
        <v/>
      </c>
      <c r="J51" s="18">
        <f>FDSC("-",J$6,"FF_NONPERF_LOAN_PCT(ANN_R,"&amp;$C$3&amp;")")</f>
        <v/>
      </c>
    </row>
    <row r="52">
      <c r="A52" s="6" t="inlineStr"/>
      <c r="B52" s="2" t="inlineStr">
        <is>
          <t>NPLs / loans (%) - FB (US only)</t>
        </is>
      </c>
      <c r="C52" s="11" t="inlineStr">
        <is>
          <t>FB_NONPERF_LOAN_PCT(ANN,{y},,,RF)</t>
        </is>
      </c>
      <c r="D52" s="12" t="inlineStr">
        <is>
          <t>Verified</t>
        </is>
      </c>
      <c r="E52" s="18">
        <f>FDSC("-",E$6,"FB_NONPERF_LOAN_PCT(ANN,"&amp;$C$3&amp;",,,RF)")</f>
        <v/>
      </c>
      <c r="F52" s="18">
        <f>FDSC("-",F$6,"FB_NONPERF_LOAN_PCT(ANN,"&amp;$C$3&amp;",,,RF)")</f>
        <v/>
      </c>
      <c r="G52" s="18">
        <f>FDSC("-",G$6,"FB_NONPERF_LOAN_PCT(ANN,"&amp;$C$3&amp;",,,RF)")</f>
        <v/>
      </c>
      <c r="H52" s="18">
        <f>FDSC("-",H$6,"FB_NONPERF_LOAN_PCT(ANN,"&amp;$C$3&amp;",,,RF)")</f>
        <v/>
      </c>
      <c r="I52" s="18">
        <f>FDSC("-",I$6,"FB_NONPERF_LOAN_PCT(ANN,"&amp;$C$3&amp;",,,RF)")</f>
        <v/>
      </c>
      <c r="J52" s="18">
        <f>FDSC("-",J$6,"FB_NONPERF_LOAN_PCT(ANN,"&amp;$C$3&amp;",,,RF)")</f>
        <v/>
      </c>
    </row>
    <row r="53">
      <c r="A53" s="6" t="inlineStr"/>
      <c r="B53" s="7" t="inlineStr">
        <is>
          <t>NPLs / loans (%) - CHAIN (FFI@FF@FB)</t>
        </is>
      </c>
      <c r="C53" s="11" t="inlineStr">
        <is>
          <t>FFI_NPL_LOAN_RATIO(ANN_L,{y})@FF_NONPERF_LOAN_PCT(ANN_R,{y})@FB_NONPERF_LOAN_PCT(ANN,{y},,,RF)</t>
        </is>
      </c>
      <c r="D53" s="24" t="inlineStr">
        <is>
          <t>Chain</t>
        </is>
      </c>
      <c r="E53" s="26">
        <f>FDSC("-",E$6,"FFI_NPL_LOAN_RATIO(ANN_L,"&amp;$C$3&amp;")@FF_NONPERF_LOAN_PCT(ANN_R,"&amp;$C$3&amp;")@FB_NONPERF_LOAN_PCT(ANN,"&amp;$C$3&amp;",,,RF)")</f>
        <v/>
      </c>
      <c r="F53" s="26">
        <f>FDSC("-",F$6,"FFI_NPL_LOAN_RATIO(ANN_L,"&amp;$C$3&amp;")@FF_NONPERF_LOAN_PCT(ANN_R,"&amp;$C$3&amp;")@FB_NONPERF_LOAN_PCT(ANN,"&amp;$C$3&amp;",,,RF)")</f>
        <v/>
      </c>
      <c r="G53" s="26">
        <f>FDSC("-",G$6,"FFI_NPL_LOAN_RATIO(ANN_L,"&amp;$C$3&amp;")@FF_NONPERF_LOAN_PCT(ANN_R,"&amp;$C$3&amp;")@FB_NONPERF_LOAN_PCT(ANN,"&amp;$C$3&amp;",,,RF)")</f>
        <v/>
      </c>
      <c r="H53" s="26">
        <f>FDSC("-",H$6,"FFI_NPL_LOAN_RATIO(ANN_L,"&amp;$C$3&amp;")@FF_NONPERF_LOAN_PCT(ANN_R,"&amp;$C$3&amp;")@FB_NONPERF_LOAN_PCT(ANN,"&amp;$C$3&amp;",,,RF)")</f>
        <v/>
      </c>
      <c r="I53" s="26">
        <f>FDSC("-",I$6,"FFI_NPL_LOAN_RATIO(ANN_L,"&amp;$C$3&amp;")@FF_NONPERF_LOAN_PCT(ANN_R,"&amp;$C$3&amp;")@FB_NONPERF_LOAN_PCT(ANN,"&amp;$C$3&amp;",,,RF)")</f>
        <v/>
      </c>
      <c r="J53" s="26">
        <f>FDSC("-",J$6,"FFI_NPL_LOAN_RATIO(ANN_L,"&amp;$C$3&amp;")@FF_NONPERF_LOAN_PCT(ANN_R,"&amp;$C$3&amp;")@FB_NONPERF_LOAN_PCT(ANN,"&amp;$C$3&amp;",,,RF)")</f>
        <v/>
      </c>
    </row>
    <row r="54">
      <c r="A54" s="14" t="inlineStr">
        <is>
          <t>Management</t>
        </is>
      </c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</row>
    <row r="55">
      <c r="A55" s="6" t="inlineStr"/>
      <c r="B55" s="2" t="inlineStr">
        <is>
          <t>Efficiency ratio (%) - FFI</t>
        </is>
      </c>
      <c r="C55" s="11" t="inlineStr">
        <is>
          <t>FFI_EFF_RATIO(ANN_L,{y})</t>
        </is>
      </c>
      <c r="D55" s="12" t="inlineStr">
        <is>
          <t>Verified</t>
        </is>
      </c>
      <c r="E55" s="18">
        <f>FDSC("-",E$6,"FFI_EFF_RATIO(ANN_L,"&amp;$C$3&amp;")")</f>
        <v/>
      </c>
      <c r="F55" s="18">
        <f>FDSC("-",F$6,"FFI_EFF_RATIO(ANN_L,"&amp;$C$3&amp;")")</f>
        <v/>
      </c>
      <c r="G55" s="18">
        <f>FDSC("-",G$6,"FFI_EFF_RATIO(ANN_L,"&amp;$C$3&amp;")")</f>
        <v/>
      </c>
      <c r="H55" s="18">
        <f>FDSC("-",H$6,"FFI_EFF_RATIO(ANN_L,"&amp;$C$3&amp;")")</f>
        <v/>
      </c>
      <c r="I55" s="18">
        <f>FDSC("-",I$6,"FFI_EFF_RATIO(ANN_L,"&amp;$C$3&amp;")")</f>
        <v/>
      </c>
      <c r="J55" s="18">
        <f>FDSC("-",J$6,"FFI_EFF_RATIO(ANN_L,"&amp;$C$3&amp;")")</f>
        <v/>
      </c>
    </row>
    <row r="56">
      <c r="A56" s="6" t="inlineStr"/>
      <c r="B56" s="2" t="inlineStr">
        <is>
          <t>Efficiency ratio (%) - FF</t>
        </is>
      </c>
      <c r="C56" s="11" t="inlineStr">
        <is>
          <t>FF_BK_EFF_RATIO(ANN_R,{y})</t>
        </is>
      </c>
      <c r="D56" s="12" t="inlineStr">
        <is>
          <t>Verified</t>
        </is>
      </c>
      <c r="E56" s="18">
        <f>FDSC("-",E$6,"FF_BK_EFF_RATIO(ANN_R,"&amp;$C$3&amp;")")</f>
        <v/>
      </c>
      <c r="F56" s="18">
        <f>FDSC("-",F$6,"FF_BK_EFF_RATIO(ANN_R,"&amp;$C$3&amp;")")</f>
        <v/>
      </c>
      <c r="G56" s="18">
        <f>FDSC("-",G$6,"FF_BK_EFF_RATIO(ANN_R,"&amp;$C$3&amp;")")</f>
        <v/>
      </c>
      <c r="H56" s="18">
        <f>FDSC("-",H$6,"FF_BK_EFF_RATIO(ANN_R,"&amp;$C$3&amp;")")</f>
        <v/>
      </c>
      <c r="I56" s="18">
        <f>FDSC("-",I$6,"FF_BK_EFF_RATIO(ANN_R,"&amp;$C$3&amp;")")</f>
        <v/>
      </c>
      <c r="J56" s="18">
        <f>FDSC("-",J$6,"FF_BK_EFF_RATIO(ANN_R,"&amp;$C$3&amp;")")</f>
        <v/>
      </c>
    </row>
    <row r="57">
      <c r="A57" s="6" t="inlineStr"/>
      <c r="B57" s="2" t="inlineStr">
        <is>
          <t>Efficiency ratio (%) - FB (US only)</t>
        </is>
      </c>
      <c r="C57" s="11" t="inlineStr">
        <is>
          <t>FB_EFF_RATIO(ANN,{y},,,RF)</t>
        </is>
      </c>
      <c r="D57" s="12" t="inlineStr">
        <is>
          <t>Verified</t>
        </is>
      </c>
      <c r="E57" s="18">
        <f>FDSC("-",E$6,"FB_EFF_RATIO(ANN,"&amp;$C$3&amp;",,,RF)")</f>
        <v/>
      </c>
      <c r="F57" s="18">
        <f>FDSC("-",F$6,"FB_EFF_RATIO(ANN,"&amp;$C$3&amp;",,,RF)")</f>
        <v/>
      </c>
      <c r="G57" s="18">
        <f>FDSC("-",G$6,"FB_EFF_RATIO(ANN,"&amp;$C$3&amp;",,,RF)")</f>
        <v/>
      </c>
      <c r="H57" s="18">
        <f>FDSC("-",H$6,"FB_EFF_RATIO(ANN,"&amp;$C$3&amp;",,,RF)")</f>
        <v/>
      </c>
      <c r="I57" s="18">
        <f>FDSC("-",I$6,"FB_EFF_RATIO(ANN,"&amp;$C$3&amp;",,,RF)")</f>
        <v/>
      </c>
      <c r="J57" s="18">
        <f>FDSC("-",J$6,"FB_EFF_RATIO(ANN,"&amp;$C$3&amp;",,,RF)")</f>
        <v/>
      </c>
    </row>
    <row r="58">
      <c r="A58" s="6" t="inlineStr"/>
      <c r="B58" s="7" t="inlineStr">
        <is>
          <t>Efficiency ratio (%) - CHAIN (FFI@FF@FB)</t>
        </is>
      </c>
      <c r="C58" s="11" t="inlineStr">
        <is>
          <t>FFI_EFF_RATIO(ANN_L,{y})@FF_BK_EFF_RATIO(ANN_R,{y})@FB_EFF_RATIO(ANN,{y},,,RF)</t>
        </is>
      </c>
      <c r="D58" s="24" t="inlineStr">
        <is>
          <t>Chain</t>
        </is>
      </c>
      <c r="E58" s="26">
        <f>FDSC("-",E$6,"FFI_EFF_RATIO(ANN_L,"&amp;$C$3&amp;")@FF_BK_EFF_RATIO(ANN_R,"&amp;$C$3&amp;")@FB_EFF_RATIO(ANN,"&amp;$C$3&amp;",,,RF)")</f>
        <v/>
      </c>
      <c r="F58" s="26">
        <f>FDSC("-",F$6,"FFI_EFF_RATIO(ANN_L,"&amp;$C$3&amp;")@FF_BK_EFF_RATIO(ANN_R,"&amp;$C$3&amp;")@FB_EFF_RATIO(ANN,"&amp;$C$3&amp;",,,RF)")</f>
        <v/>
      </c>
      <c r="G58" s="26">
        <f>FDSC("-",G$6,"FFI_EFF_RATIO(ANN_L,"&amp;$C$3&amp;")@FF_BK_EFF_RATIO(ANN_R,"&amp;$C$3&amp;")@FB_EFF_RATIO(ANN,"&amp;$C$3&amp;",,,RF)")</f>
        <v/>
      </c>
      <c r="H58" s="26">
        <f>FDSC("-",H$6,"FFI_EFF_RATIO(ANN_L,"&amp;$C$3&amp;")@FF_BK_EFF_RATIO(ANN_R,"&amp;$C$3&amp;")@FB_EFF_RATIO(ANN,"&amp;$C$3&amp;",,,RF)")</f>
        <v/>
      </c>
      <c r="I58" s="26">
        <f>FDSC("-",I$6,"FFI_EFF_RATIO(ANN_L,"&amp;$C$3&amp;")@FF_BK_EFF_RATIO(ANN_R,"&amp;$C$3&amp;")@FB_EFF_RATIO(ANN,"&amp;$C$3&amp;",,,RF)")</f>
        <v/>
      </c>
      <c r="J58" s="26">
        <f>FDSC("-",J$6,"FFI_EFF_RATIO(ANN_L,"&amp;$C$3&amp;")@FF_BK_EFF_RATIO(ANN_R,"&amp;$C$3&amp;")@FB_EFF_RATIO(ANN,"&amp;$C$3&amp;",,,RF)")</f>
        <v/>
      </c>
    </row>
    <row r="59">
      <c r="A59" s="14" t="inlineStr">
        <is>
          <t>Earnings</t>
        </is>
      </c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</row>
    <row r="60">
      <c r="A60" s="6" t="inlineStr"/>
      <c r="B60" s="2" t="inlineStr">
        <is>
          <t>ROTE (%) - FFI</t>
        </is>
      </c>
      <c r="C60" s="11" t="inlineStr">
        <is>
          <t>FFI_ROTE(ANN_L,{y})</t>
        </is>
      </c>
      <c r="D60" s="12" t="inlineStr">
        <is>
          <t>Verified</t>
        </is>
      </c>
      <c r="E60" s="18">
        <f>FDSC("-",E$6,"FFI_ROTE(ANN_L,"&amp;$C$3&amp;")")</f>
        <v/>
      </c>
      <c r="F60" s="18">
        <f>FDSC("-",F$6,"FFI_ROTE(ANN_L,"&amp;$C$3&amp;")")</f>
        <v/>
      </c>
      <c r="G60" s="18">
        <f>FDSC("-",G$6,"FFI_ROTE(ANN_L,"&amp;$C$3&amp;")")</f>
        <v/>
      </c>
      <c r="H60" s="18">
        <f>FDSC("-",H$6,"FFI_ROTE(ANN_L,"&amp;$C$3&amp;")")</f>
        <v/>
      </c>
      <c r="I60" s="18">
        <f>FDSC("-",I$6,"FFI_ROTE(ANN_L,"&amp;$C$3&amp;")")</f>
        <v/>
      </c>
      <c r="J60" s="18">
        <f>FDSC("-",J$6,"FFI_ROTE(ANN_L,"&amp;$C$3&amp;")")</f>
        <v/>
      </c>
    </row>
    <row r="61">
      <c r="A61" s="6" t="inlineStr"/>
      <c r="B61" s="2" t="inlineStr">
        <is>
          <t>ROTE (%) - FB (US only)</t>
        </is>
      </c>
      <c r="C61" s="11" t="inlineStr">
        <is>
          <t>FB_ROTE(ANN,{y},,,RF)</t>
        </is>
      </c>
      <c r="D61" s="12" t="inlineStr">
        <is>
          <t>Verified</t>
        </is>
      </c>
      <c r="E61" s="18">
        <f>FDSC("-",E$6,"FB_ROTE(ANN,"&amp;$C$3&amp;",,,RF)")</f>
        <v/>
      </c>
      <c r="F61" s="18">
        <f>FDSC("-",F$6,"FB_ROTE(ANN,"&amp;$C$3&amp;",,,RF)")</f>
        <v/>
      </c>
      <c r="G61" s="18">
        <f>FDSC("-",G$6,"FB_ROTE(ANN,"&amp;$C$3&amp;",,,RF)")</f>
        <v/>
      </c>
      <c r="H61" s="18">
        <f>FDSC("-",H$6,"FB_ROTE(ANN,"&amp;$C$3&amp;",,,RF)")</f>
        <v/>
      </c>
      <c r="I61" s="18">
        <f>FDSC("-",I$6,"FB_ROTE(ANN,"&amp;$C$3&amp;",,,RF)")</f>
        <v/>
      </c>
      <c r="J61" s="18">
        <f>FDSC("-",J$6,"FB_ROTE(ANN,"&amp;$C$3&amp;",,,RF)")</f>
        <v/>
      </c>
    </row>
    <row r="62">
      <c r="A62" s="6" t="inlineStr"/>
      <c r="B62" s="7" t="inlineStr">
        <is>
          <t>ROTE (%) - CHAIN (FFI@FF@FB)</t>
        </is>
      </c>
      <c r="C62" s="11" t="inlineStr">
        <is>
          <t>FFI_ROTE(ANN_L,{y})@FB_ROTE(ANN,{y},,,RF)</t>
        </is>
      </c>
      <c r="D62" s="24" t="inlineStr">
        <is>
          <t>Chain</t>
        </is>
      </c>
      <c r="E62" s="26">
        <f>FDSC("-",E$6,"FFI_ROTE(ANN_L,"&amp;$C$3&amp;")@FB_ROTE(ANN,"&amp;$C$3&amp;",,,RF)")</f>
        <v/>
      </c>
      <c r="F62" s="26">
        <f>FDSC("-",F$6,"FFI_ROTE(ANN_L,"&amp;$C$3&amp;")@FB_ROTE(ANN,"&amp;$C$3&amp;",,,RF)")</f>
        <v/>
      </c>
      <c r="G62" s="26">
        <f>FDSC("-",G$6,"FFI_ROTE(ANN_L,"&amp;$C$3&amp;")@FB_ROTE(ANN,"&amp;$C$3&amp;",,,RF)")</f>
        <v/>
      </c>
      <c r="H62" s="26">
        <f>FDSC("-",H$6,"FFI_ROTE(ANN_L,"&amp;$C$3&amp;")@FB_ROTE(ANN,"&amp;$C$3&amp;",,,RF)")</f>
        <v/>
      </c>
      <c r="I62" s="26">
        <f>FDSC("-",I$6,"FFI_ROTE(ANN_L,"&amp;$C$3&amp;")@FB_ROTE(ANN,"&amp;$C$3&amp;",,,RF)")</f>
        <v/>
      </c>
      <c r="J62" s="26">
        <f>FDSC("-",J$6,"FFI_ROTE(ANN_L,"&amp;$C$3&amp;")@FB_ROTE(ANN,"&amp;$C$3&amp;",,,RF)")</f>
        <v/>
      </c>
    </row>
    <row r="63">
      <c r="A63" s="6" t="inlineStr"/>
      <c r="B63" s="2" t="inlineStr">
        <is>
          <t>ROTCE (%) - FFI</t>
        </is>
      </c>
      <c r="C63" s="11" t="inlineStr">
        <is>
          <t>FFI_ROTCE(ANN_L,{y})</t>
        </is>
      </c>
      <c r="D63" s="12" t="inlineStr">
        <is>
          <t>Verified</t>
        </is>
      </c>
      <c r="E63" s="18">
        <f>FDSC("-",E$6,"FFI_ROTCE(ANN_L,"&amp;$C$3&amp;")")</f>
        <v/>
      </c>
      <c r="F63" s="18">
        <f>FDSC("-",F$6,"FFI_ROTCE(ANN_L,"&amp;$C$3&amp;")")</f>
        <v/>
      </c>
      <c r="G63" s="18">
        <f>FDSC("-",G$6,"FFI_ROTCE(ANN_L,"&amp;$C$3&amp;")")</f>
        <v/>
      </c>
      <c r="H63" s="18">
        <f>FDSC("-",H$6,"FFI_ROTCE(ANN_L,"&amp;$C$3&amp;")")</f>
        <v/>
      </c>
      <c r="I63" s="18">
        <f>FDSC("-",I$6,"FFI_ROTCE(ANN_L,"&amp;$C$3&amp;")")</f>
        <v/>
      </c>
      <c r="J63" s="18">
        <f>FDSC("-",J$6,"FFI_ROTCE(ANN_L,"&amp;$C$3&amp;")")</f>
        <v/>
      </c>
    </row>
    <row r="64">
      <c r="A64" s="6" t="inlineStr"/>
      <c r="B64" s="2" t="inlineStr">
        <is>
          <t>ROTCE (%) - FF</t>
        </is>
      </c>
      <c r="C64" s="11" t="inlineStr">
        <is>
          <t>FF_ROTCE(ANN_R,{y})</t>
        </is>
      </c>
      <c r="D64" s="12" t="inlineStr">
        <is>
          <t>Verified</t>
        </is>
      </c>
      <c r="E64" s="18">
        <f>FDSC("-",E$6,"FF_ROTCE(ANN_R,"&amp;$C$3&amp;")")</f>
        <v/>
      </c>
      <c r="F64" s="18">
        <f>FDSC("-",F$6,"FF_ROTCE(ANN_R,"&amp;$C$3&amp;")")</f>
        <v/>
      </c>
      <c r="G64" s="18">
        <f>FDSC("-",G$6,"FF_ROTCE(ANN_R,"&amp;$C$3&amp;")")</f>
        <v/>
      </c>
      <c r="H64" s="18">
        <f>FDSC("-",H$6,"FF_ROTCE(ANN_R,"&amp;$C$3&amp;")")</f>
        <v/>
      </c>
      <c r="I64" s="18">
        <f>FDSC("-",I$6,"FF_ROTCE(ANN_R,"&amp;$C$3&amp;")")</f>
        <v/>
      </c>
      <c r="J64" s="18">
        <f>FDSC("-",J$6,"FF_ROTCE(ANN_R,"&amp;$C$3&amp;")")</f>
        <v/>
      </c>
    </row>
    <row r="65">
      <c r="A65" s="6" t="inlineStr"/>
      <c r="B65" s="2" t="inlineStr">
        <is>
          <t>ROTCE (%) - FB (US only)</t>
        </is>
      </c>
      <c r="C65" s="11" t="inlineStr">
        <is>
          <t>FB_ROTCE(ANN,{y},,,RF)</t>
        </is>
      </c>
      <c r="D65" s="12" t="inlineStr">
        <is>
          <t>Verified</t>
        </is>
      </c>
      <c r="E65" s="18">
        <f>FDSC("-",E$6,"FB_ROTCE(ANN,"&amp;$C$3&amp;",,,RF)")</f>
        <v/>
      </c>
      <c r="F65" s="18">
        <f>FDSC("-",F$6,"FB_ROTCE(ANN,"&amp;$C$3&amp;",,,RF)")</f>
        <v/>
      </c>
      <c r="G65" s="18">
        <f>FDSC("-",G$6,"FB_ROTCE(ANN,"&amp;$C$3&amp;",,,RF)")</f>
        <v/>
      </c>
      <c r="H65" s="18">
        <f>FDSC("-",H$6,"FB_ROTCE(ANN,"&amp;$C$3&amp;",,,RF)")</f>
        <v/>
      </c>
      <c r="I65" s="18">
        <f>FDSC("-",I$6,"FB_ROTCE(ANN,"&amp;$C$3&amp;",,,RF)")</f>
        <v/>
      </c>
      <c r="J65" s="18">
        <f>FDSC("-",J$6,"FB_ROTCE(ANN,"&amp;$C$3&amp;",,,RF)")</f>
        <v/>
      </c>
    </row>
    <row r="66">
      <c r="A66" s="6" t="inlineStr"/>
      <c r="B66" s="7" t="inlineStr">
        <is>
          <t>ROTCE (%) - CHAIN (FFI@FF@FB)</t>
        </is>
      </c>
      <c r="C66" s="11" t="inlineStr">
        <is>
          <t>FFI_ROTCE(ANN_L,{y})@FF_ROTCE(ANN_R,{y})@FB_ROTCE(ANN,{y},,,RF)</t>
        </is>
      </c>
      <c r="D66" s="24" t="inlineStr">
        <is>
          <t>Chain</t>
        </is>
      </c>
      <c r="E66" s="26">
        <f>FDSC("-",E$6,"FFI_ROTCE(ANN_L,"&amp;$C$3&amp;")@FF_ROTCE(ANN_R,"&amp;$C$3&amp;")@FB_ROTCE(ANN,"&amp;$C$3&amp;",,,RF)")</f>
        <v/>
      </c>
      <c r="F66" s="26">
        <f>FDSC("-",F$6,"FFI_ROTCE(ANN_L,"&amp;$C$3&amp;")@FF_ROTCE(ANN_R,"&amp;$C$3&amp;")@FB_ROTCE(ANN,"&amp;$C$3&amp;",,,RF)")</f>
        <v/>
      </c>
      <c r="G66" s="26">
        <f>FDSC("-",G$6,"FFI_ROTCE(ANN_L,"&amp;$C$3&amp;")@FF_ROTCE(ANN_R,"&amp;$C$3&amp;")@FB_ROTCE(ANN,"&amp;$C$3&amp;",,,RF)")</f>
        <v/>
      </c>
      <c r="H66" s="26">
        <f>FDSC("-",H$6,"FFI_ROTCE(ANN_L,"&amp;$C$3&amp;")@FF_ROTCE(ANN_R,"&amp;$C$3&amp;")@FB_ROTCE(ANN,"&amp;$C$3&amp;",,,RF)")</f>
        <v/>
      </c>
      <c r="I66" s="26">
        <f>FDSC("-",I$6,"FFI_ROTCE(ANN_L,"&amp;$C$3&amp;")@FF_ROTCE(ANN_R,"&amp;$C$3&amp;")@FB_ROTCE(ANN,"&amp;$C$3&amp;",,,RF)")</f>
        <v/>
      </c>
      <c r="J66" s="26">
        <f>FDSC("-",J$6,"FFI_ROTCE(ANN_L,"&amp;$C$3&amp;")@FF_ROTCE(ANN_R,"&amp;$C$3&amp;")@FB_ROTCE(ANN,"&amp;$C$3&amp;",,,RF)")</f>
        <v/>
      </c>
    </row>
    <row r="67">
      <c r="A67" s="6" t="inlineStr"/>
      <c r="B67" s="2" t="inlineStr">
        <is>
          <t>ROA (%) - FFI</t>
        </is>
      </c>
      <c r="C67" s="11" t="inlineStr">
        <is>
          <t>FFI_ROA(ANN_L,{y})</t>
        </is>
      </c>
      <c r="D67" s="12" t="inlineStr">
        <is>
          <t>Verified</t>
        </is>
      </c>
      <c r="E67" s="18">
        <f>FDSC("-",E$6,"FFI_ROA(ANN_L,"&amp;$C$3&amp;")")</f>
        <v/>
      </c>
      <c r="F67" s="18">
        <f>FDSC("-",F$6,"FFI_ROA(ANN_L,"&amp;$C$3&amp;")")</f>
        <v/>
      </c>
      <c r="G67" s="18">
        <f>FDSC("-",G$6,"FFI_ROA(ANN_L,"&amp;$C$3&amp;")")</f>
        <v/>
      </c>
      <c r="H67" s="18">
        <f>FDSC("-",H$6,"FFI_ROA(ANN_L,"&amp;$C$3&amp;")")</f>
        <v/>
      </c>
      <c r="I67" s="18">
        <f>FDSC("-",I$6,"FFI_ROA(ANN_L,"&amp;$C$3&amp;")")</f>
        <v/>
      </c>
      <c r="J67" s="18">
        <f>FDSC("-",J$6,"FFI_ROA(ANN_L,"&amp;$C$3&amp;")")</f>
        <v/>
      </c>
    </row>
    <row r="68">
      <c r="A68" s="6" t="inlineStr"/>
      <c r="B68" s="2" t="inlineStr">
        <is>
          <t>ROA (%) - FF</t>
        </is>
      </c>
      <c r="C68" s="11" t="inlineStr">
        <is>
          <t>FF_ROA(ANN_R,{y})</t>
        </is>
      </c>
      <c r="D68" s="12" t="inlineStr">
        <is>
          <t>Verified</t>
        </is>
      </c>
      <c r="E68" s="18">
        <f>FDSC("-",E$6,"FF_ROA(ANN_R,"&amp;$C$3&amp;")")</f>
        <v/>
      </c>
      <c r="F68" s="18">
        <f>FDSC("-",F$6,"FF_ROA(ANN_R,"&amp;$C$3&amp;")")</f>
        <v/>
      </c>
      <c r="G68" s="18">
        <f>FDSC("-",G$6,"FF_ROA(ANN_R,"&amp;$C$3&amp;")")</f>
        <v/>
      </c>
      <c r="H68" s="18">
        <f>FDSC("-",H$6,"FF_ROA(ANN_R,"&amp;$C$3&amp;")")</f>
        <v/>
      </c>
      <c r="I68" s="18">
        <f>FDSC("-",I$6,"FF_ROA(ANN_R,"&amp;$C$3&amp;")")</f>
        <v/>
      </c>
      <c r="J68" s="18">
        <f>FDSC("-",J$6,"FF_ROA(ANN_R,"&amp;$C$3&amp;")")</f>
        <v/>
      </c>
    </row>
    <row r="69">
      <c r="A69" s="6" t="inlineStr"/>
      <c r="B69" s="2" t="inlineStr">
        <is>
          <t>ROA (%) - FB (US only)</t>
        </is>
      </c>
      <c r="C69" s="11" t="inlineStr">
        <is>
          <t>FB_ROA(ANN,{y},,,RF)</t>
        </is>
      </c>
      <c r="D69" s="12" t="inlineStr">
        <is>
          <t>Verified</t>
        </is>
      </c>
      <c r="E69" s="18">
        <f>FDSC("-",E$6,"FB_ROA(ANN,"&amp;$C$3&amp;",,,RF)")</f>
        <v/>
      </c>
      <c r="F69" s="18">
        <f>FDSC("-",F$6,"FB_ROA(ANN,"&amp;$C$3&amp;",,,RF)")</f>
        <v/>
      </c>
      <c r="G69" s="18">
        <f>FDSC("-",G$6,"FB_ROA(ANN,"&amp;$C$3&amp;",,,RF)")</f>
        <v/>
      </c>
      <c r="H69" s="18">
        <f>FDSC("-",H$6,"FB_ROA(ANN,"&amp;$C$3&amp;",,,RF)")</f>
        <v/>
      </c>
      <c r="I69" s="18">
        <f>FDSC("-",I$6,"FB_ROA(ANN,"&amp;$C$3&amp;",,,RF)")</f>
        <v/>
      </c>
      <c r="J69" s="18">
        <f>FDSC("-",J$6,"FB_ROA(ANN,"&amp;$C$3&amp;",,,RF)")</f>
        <v/>
      </c>
    </row>
    <row r="70">
      <c r="A70" s="6" t="inlineStr"/>
      <c r="B70" s="7" t="inlineStr">
        <is>
          <t>ROA (%) - CHAIN (FFI@FF@FB)</t>
        </is>
      </c>
      <c r="C70" s="11" t="inlineStr">
        <is>
          <t>FFI_ROA(ANN_L,{y})@FF_ROA(ANN_R,{y})@FB_ROA(ANN,{y},,,RF)</t>
        </is>
      </c>
      <c r="D70" s="24" t="inlineStr">
        <is>
          <t>Chain</t>
        </is>
      </c>
      <c r="E70" s="26">
        <f>FDSC("-",E$6,"FFI_ROA(ANN_L,"&amp;$C$3&amp;")@FF_ROA(ANN_R,"&amp;$C$3&amp;")@FB_ROA(ANN,"&amp;$C$3&amp;",,,RF)")</f>
        <v/>
      </c>
      <c r="F70" s="26">
        <f>FDSC("-",F$6,"FFI_ROA(ANN_L,"&amp;$C$3&amp;")@FF_ROA(ANN_R,"&amp;$C$3&amp;")@FB_ROA(ANN,"&amp;$C$3&amp;",,,RF)")</f>
        <v/>
      </c>
      <c r="G70" s="26">
        <f>FDSC("-",G$6,"FFI_ROA(ANN_L,"&amp;$C$3&amp;")@FF_ROA(ANN_R,"&amp;$C$3&amp;")@FB_ROA(ANN,"&amp;$C$3&amp;",,,RF)")</f>
        <v/>
      </c>
      <c r="H70" s="26">
        <f>FDSC("-",H$6,"FFI_ROA(ANN_L,"&amp;$C$3&amp;")@FF_ROA(ANN_R,"&amp;$C$3&amp;")@FB_ROA(ANN,"&amp;$C$3&amp;",,,RF)")</f>
        <v/>
      </c>
      <c r="I70" s="26">
        <f>FDSC("-",I$6,"FFI_ROA(ANN_L,"&amp;$C$3&amp;")@FF_ROA(ANN_R,"&amp;$C$3&amp;")@FB_ROA(ANN,"&amp;$C$3&amp;",,,RF)")</f>
        <v/>
      </c>
      <c r="J70" s="26">
        <f>FDSC("-",J$6,"FFI_ROA(ANN_L,"&amp;$C$3&amp;")@FF_ROA(ANN_R,"&amp;$C$3&amp;")@FB_ROA(ANN,"&amp;$C$3&amp;",,,RF)")</f>
        <v/>
      </c>
    </row>
    <row r="71">
      <c r="A71" s="6" t="inlineStr"/>
      <c r="B71" s="2" t="inlineStr">
        <is>
          <t>NIM (%) - FFI</t>
        </is>
      </c>
      <c r="C71" s="11" t="inlineStr">
        <is>
          <t>FFI_AVG_BAL_INT_RATE_NET_MGN(ANN_L,{y})</t>
        </is>
      </c>
      <c r="D71" s="12" t="inlineStr">
        <is>
          <t>Verified</t>
        </is>
      </c>
      <c r="E71" s="18">
        <f>FDSC("-",E$6,"FFI_AVG_BAL_INT_RATE_NET_MGN(ANN_L,"&amp;$C$3&amp;")")</f>
        <v/>
      </c>
      <c r="F71" s="18">
        <f>FDSC("-",F$6,"FFI_AVG_BAL_INT_RATE_NET_MGN(ANN_L,"&amp;$C$3&amp;")")</f>
        <v/>
      </c>
      <c r="G71" s="18">
        <f>FDSC("-",G$6,"FFI_AVG_BAL_INT_RATE_NET_MGN(ANN_L,"&amp;$C$3&amp;")")</f>
        <v/>
      </c>
      <c r="H71" s="18">
        <f>FDSC("-",H$6,"FFI_AVG_BAL_INT_RATE_NET_MGN(ANN_L,"&amp;$C$3&amp;")")</f>
        <v/>
      </c>
      <c r="I71" s="18">
        <f>FDSC("-",I$6,"FFI_AVG_BAL_INT_RATE_NET_MGN(ANN_L,"&amp;$C$3&amp;")")</f>
        <v/>
      </c>
      <c r="J71" s="18">
        <f>FDSC("-",J$6,"FFI_AVG_BAL_INT_RATE_NET_MGN(ANN_L,"&amp;$C$3&amp;")")</f>
        <v/>
      </c>
    </row>
    <row r="72">
      <c r="A72" s="6" t="inlineStr"/>
      <c r="B72" s="2" t="inlineStr">
        <is>
          <t>NIM (%) - FF</t>
        </is>
      </c>
      <c r="C72" s="11" t="inlineStr">
        <is>
          <t>FF_INT_MGN(ANN_R,{y})</t>
        </is>
      </c>
      <c r="D72" s="12" t="inlineStr">
        <is>
          <t>Verified</t>
        </is>
      </c>
      <c r="E72" s="18">
        <f>FDSC("-",E$6,"FF_INT_MGN(ANN_R,"&amp;$C$3&amp;")")</f>
        <v/>
      </c>
      <c r="F72" s="18">
        <f>FDSC("-",F$6,"FF_INT_MGN(ANN_R,"&amp;$C$3&amp;")")</f>
        <v/>
      </c>
      <c r="G72" s="18">
        <f>FDSC("-",G$6,"FF_INT_MGN(ANN_R,"&amp;$C$3&amp;")")</f>
        <v/>
      </c>
      <c r="H72" s="18">
        <f>FDSC("-",H$6,"FF_INT_MGN(ANN_R,"&amp;$C$3&amp;")")</f>
        <v/>
      </c>
      <c r="I72" s="18">
        <f>FDSC("-",I$6,"FF_INT_MGN(ANN_R,"&amp;$C$3&amp;")")</f>
        <v/>
      </c>
      <c r="J72" s="18">
        <f>FDSC("-",J$6,"FF_INT_MGN(ANN_R,"&amp;$C$3&amp;")")</f>
        <v/>
      </c>
    </row>
    <row r="73">
      <c r="A73" s="6" t="inlineStr"/>
      <c r="B73" s="2" t="inlineStr">
        <is>
          <t>NIM (%) - FB (US only)</t>
        </is>
      </c>
      <c r="C73" s="11" t="inlineStr">
        <is>
          <t>FB_INT_MGN(ANN,{y},,,RF)</t>
        </is>
      </c>
      <c r="D73" s="12" t="inlineStr">
        <is>
          <t>Verified</t>
        </is>
      </c>
      <c r="E73" s="18">
        <f>FDSC("-",E$6,"FB_INT_MGN(ANN,"&amp;$C$3&amp;",,,RF)")</f>
        <v/>
      </c>
      <c r="F73" s="18">
        <f>FDSC("-",F$6,"FB_INT_MGN(ANN,"&amp;$C$3&amp;",,,RF)")</f>
        <v/>
      </c>
      <c r="G73" s="18">
        <f>FDSC("-",G$6,"FB_INT_MGN(ANN,"&amp;$C$3&amp;",,,RF)")</f>
        <v/>
      </c>
      <c r="H73" s="18">
        <f>FDSC("-",H$6,"FB_INT_MGN(ANN,"&amp;$C$3&amp;",,,RF)")</f>
        <v/>
      </c>
      <c r="I73" s="18">
        <f>FDSC("-",I$6,"FB_INT_MGN(ANN,"&amp;$C$3&amp;",,,RF)")</f>
        <v/>
      </c>
      <c r="J73" s="18">
        <f>FDSC("-",J$6,"FB_INT_MGN(ANN,"&amp;$C$3&amp;",,,RF)")</f>
        <v/>
      </c>
    </row>
    <row r="74">
      <c r="A74" s="6" t="inlineStr"/>
      <c r="B74" s="7" t="inlineStr">
        <is>
          <t>NIM (%) - CHAIN (FFI@FF@FB)</t>
        </is>
      </c>
      <c r="C74" s="11" t="inlineStr">
        <is>
          <t>FFI_AVG_BAL_INT_RATE_NET_MGN(ANN_L,{y})@FF_INT_MGN(ANN_R,{y})@FB_INT_MGN(ANN,{y},,,RF)</t>
        </is>
      </c>
      <c r="D74" s="24" t="inlineStr">
        <is>
          <t>Chain</t>
        </is>
      </c>
      <c r="E74" s="26">
        <f>FDSC("-",E$6,"FFI_AVG_BAL_INT_RATE_NET_MGN(ANN_L,"&amp;$C$3&amp;")@FF_INT_MGN(ANN_R,"&amp;$C$3&amp;")@FB_INT_MGN(ANN,"&amp;$C$3&amp;",,,RF)")</f>
        <v/>
      </c>
      <c r="F74" s="26">
        <f>FDSC("-",F$6,"FFI_AVG_BAL_INT_RATE_NET_MGN(ANN_L,"&amp;$C$3&amp;")@FF_INT_MGN(ANN_R,"&amp;$C$3&amp;")@FB_INT_MGN(ANN,"&amp;$C$3&amp;",,,RF)")</f>
        <v/>
      </c>
      <c r="G74" s="26">
        <f>FDSC("-",G$6,"FFI_AVG_BAL_INT_RATE_NET_MGN(ANN_L,"&amp;$C$3&amp;")@FF_INT_MGN(ANN_R,"&amp;$C$3&amp;")@FB_INT_MGN(ANN,"&amp;$C$3&amp;",,,RF)")</f>
        <v/>
      </c>
      <c r="H74" s="26">
        <f>FDSC("-",H$6,"FFI_AVG_BAL_INT_RATE_NET_MGN(ANN_L,"&amp;$C$3&amp;")@FF_INT_MGN(ANN_R,"&amp;$C$3&amp;")@FB_INT_MGN(ANN,"&amp;$C$3&amp;",,,RF)")</f>
        <v/>
      </c>
      <c r="I74" s="26">
        <f>FDSC("-",I$6,"FFI_AVG_BAL_INT_RATE_NET_MGN(ANN_L,"&amp;$C$3&amp;")@FF_INT_MGN(ANN_R,"&amp;$C$3&amp;")@FB_INT_MGN(ANN,"&amp;$C$3&amp;",,,RF)")</f>
        <v/>
      </c>
      <c r="J74" s="26">
        <f>FDSC("-",J$6,"FFI_AVG_BAL_INT_RATE_NET_MGN(ANN_L,"&amp;$C$3&amp;")@FF_INT_MGN(ANN_R,"&amp;$C$3&amp;")@FB_INT_MGN(ANN,"&amp;$C$3&amp;",,,RF)")</f>
        <v/>
      </c>
    </row>
    <row r="75">
      <c r="A75" s="6" t="inlineStr"/>
      <c r="B75" s="2" t="inlineStr">
        <is>
          <t>Net interest income ($M) - FFI</t>
        </is>
      </c>
      <c r="C75" s="11" t="inlineStr">
        <is>
          <t>FFI_INT_INC_NET(ANN_L,{y},,,,USD)</t>
        </is>
      </c>
      <c r="D75" s="12" t="inlineStr">
        <is>
          <t>Verified</t>
        </is>
      </c>
      <c r="E75" s="17">
        <f>FDSC("-",E$6,"FFI_INT_INC_NET(ANN_L,"&amp;$C$3&amp;",,,,USD)")</f>
        <v/>
      </c>
      <c r="F75" s="17">
        <f>FDSC("-",F$6,"FFI_INT_INC_NET(ANN_L,"&amp;$C$3&amp;",,,,USD)")</f>
        <v/>
      </c>
      <c r="G75" s="17">
        <f>FDSC("-",G$6,"FFI_INT_INC_NET(ANN_L,"&amp;$C$3&amp;",,,,USD)")</f>
        <v/>
      </c>
      <c r="H75" s="17">
        <f>FDSC("-",H$6,"FFI_INT_INC_NET(ANN_L,"&amp;$C$3&amp;",,,,USD)")</f>
        <v/>
      </c>
      <c r="I75" s="17">
        <f>FDSC("-",I$6,"FFI_INT_INC_NET(ANN_L,"&amp;$C$3&amp;",,,,USD)")</f>
        <v/>
      </c>
      <c r="J75" s="17">
        <f>FDSC("-",J$6,"FFI_INT_INC_NET(ANN_L,"&amp;$C$3&amp;",,,,USD)")</f>
        <v/>
      </c>
    </row>
    <row r="76">
      <c r="A76" s="6" t="inlineStr"/>
      <c r="B76" s="2" t="inlineStr">
        <is>
          <t>Net interest income ($M) - FF</t>
        </is>
      </c>
      <c r="C76" s="11" t="inlineStr">
        <is>
          <t>FF_INT_INC_NET(ANN_R,{y},,,,USD)</t>
        </is>
      </c>
      <c r="D76" s="12" t="inlineStr">
        <is>
          <t>Verified</t>
        </is>
      </c>
      <c r="E76" s="17">
        <f>FDSC("-",E$6,"FF_INT_INC_NET(ANN_R,"&amp;$C$3&amp;",,,,USD)")</f>
        <v/>
      </c>
      <c r="F76" s="17">
        <f>FDSC("-",F$6,"FF_INT_INC_NET(ANN_R,"&amp;$C$3&amp;",,,,USD)")</f>
        <v/>
      </c>
      <c r="G76" s="17">
        <f>FDSC("-",G$6,"FF_INT_INC_NET(ANN_R,"&amp;$C$3&amp;",,,,USD)")</f>
        <v/>
      </c>
      <c r="H76" s="17">
        <f>FDSC("-",H$6,"FF_INT_INC_NET(ANN_R,"&amp;$C$3&amp;",,,,USD)")</f>
        <v/>
      </c>
      <c r="I76" s="17">
        <f>FDSC("-",I$6,"FF_INT_INC_NET(ANN_R,"&amp;$C$3&amp;",,,,USD)")</f>
        <v/>
      </c>
      <c r="J76" s="17">
        <f>FDSC("-",J$6,"FF_INT_INC_NET(ANN_R,"&amp;$C$3&amp;",,,,USD)")</f>
        <v/>
      </c>
    </row>
    <row r="77">
      <c r="A77" s="6" t="inlineStr"/>
      <c r="B77" s="2" t="inlineStr">
        <is>
          <t>Net interest income ($M) - FB (US only)</t>
        </is>
      </c>
      <c r="C77" s="11" t="inlineStr">
        <is>
          <t>FB_INT_INC_NET(ANN,{y},,,RF,USD)</t>
        </is>
      </c>
      <c r="D77" s="12" t="inlineStr">
        <is>
          <t>Verified</t>
        </is>
      </c>
      <c r="E77" s="17">
        <f>FDSC("-",E$6,"FB_INT_INC_NET(ANN,"&amp;$C$3&amp;",,,RF,USD)")</f>
        <v/>
      </c>
      <c r="F77" s="17">
        <f>FDSC("-",F$6,"FB_INT_INC_NET(ANN,"&amp;$C$3&amp;",,,RF,USD)")</f>
        <v/>
      </c>
      <c r="G77" s="17">
        <f>FDSC("-",G$6,"FB_INT_INC_NET(ANN,"&amp;$C$3&amp;",,,RF,USD)")</f>
        <v/>
      </c>
      <c r="H77" s="17">
        <f>FDSC("-",H$6,"FB_INT_INC_NET(ANN,"&amp;$C$3&amp;",,,RF,USD)")</f>
        <v/>
      </c>
      <c r="I77" s="17">
        <f>FDSC("-",I$6,"FB_INT_INC_NET(ANN,"&amp;$C$3&amp;",,,RF,USD)")</f>
        <v/>
      </c>
      <c r="J77" s="17">
        <f>FDSC("-",J$6,"FB_INT_INC_NET(ANN,"&amp;$C$3&amp;",,,RF,USD)")</f>
        <v/>
      </c>
    </row>
    <row r="78">
      <c r="A78" s="6" t="inlineStr"/>
      <c r="B78" s="7" t="inlineStr">
        <is>
          <t>Net interest income ($M) - CHAIN (FFI@FF@FB)</t>
        </is>
      </c>
      <c r="C78" s="11" t="inlineStr">
        <is>
          <t>FFI_INT_INC_NET(ANN_L,{y},,,,USD)@FF_INT_INC_NET(ANN_R,{y},,,,USD)@FB_INT_INC_NET(ANN,{y},,,RF,USD)</t>
        </is>
      </c>
      <c r="D78" s="24" t="inlineStr">
        <is>
          <t>Chain</t>
        </is>
      </c>
      <c r="E78" s="25">
        <f>FDSC("-",E$6,"FFI_INT_INC_NET(ANN_L,"&amp;$C$3&amp;",,,,USD)@FF_INT_INC_NET(ANN_R,"&amp;$C$3&amp;",,,,USD)@FB_INT_INC_NET(ANN,"&amp;$C$3&amp;",,,RF,USD)")</f>
        <v/>
      </c>
      <c r="F78" s="25">
        <f>FDSC("-",F$6,"FFI_INT_INC_NET(ANN_L,"&amp;$C$3&amp;",,,,USD)@FF_INT_INC_NET(ANN_R,"&amp;$C$3&amp;",,,,USD)@FB_INT_INC_NET(ANN,"&amp;$C$3&amp;",,,RF,USD)")</f>
        <v/>
      </c>
      <c r="G78" s="25">
        <f>FDSC("-",G$6,"FFI_INT_INC_NET(ANN_L,"&amp;$C$3&amp;",,,,USD)@FF_INT_INC_NET(ANN_R,"&amp;$C$3&amp;",,,,USD)@FB_INT_INC_NET(ANN,"&amp;$C$3&amp;",,,RF,USD)")</f>
        <v/>
      </c>
      <c r="H78" s="25">
        <f>FDSC("-",H$6,"FFI_INT_INC_NET(ANN_L,"&amp;$C$3&amp;",,,,USD)@FF_INT_INC_NET(ANN_R,"&amp;$C$3&amp;",,,,USD)@FB_INT_INC_NET(ANN,"&amp;$C$3&amp;",,,RF,USD)")</f>
        <v/>
      </c>
      <c r="I78" s="25">
        <f>FDSC("-",I$6,"FFI_INT_INC_NET(ANN_L,"&amp;$C$3&amp;",,,,USD)@FF_INT_INC_NET(ANN_R,"&amp;$C$3&amp;",,,,USD)@FB_INT_INC_NET(ANN,"&amp;$C$3&amp;",,,RF,USD)")</f>
        <v/>
      </c>
      <c r="J78" s="25">
        <f>FDSC("-",J$6,"FFI_INT_INC_NET(ANN_L,"&amp;$C$3&amp;",,,,USD)@FF_INT_INC_NET(ANN_R,"&amp;$C$3&amp;",,,,USD)@FB_INT_INC_NET(ANN,"&amp;$C$3&amp;",,,RF,USD)")</f>
        <v/>
      </c>
    </row>
    <row r="79">
      <c r="A79" s="6" t="inlineStr"/>
      <c r="B79" s="2" t="inlineStr">
        <is>
          <t>Non-interest income ($M) - FFI</t>
        </is>
      </c>
      <c r="C79" s="11" t="inlineStr">
        <is>
          <t>FFI_NON_INT_INC(ANN_L,{y},,,,USD)</t>
        </is>
      </c>
      <c r="D79" s="12" t="inlineStr">
        <is>
          <t>Verified</t>
        </is>
      </c>
      <c r="E79" s="17">
        <f>FDSC("-",E$6,"FFI_NON_INT_INC(ANN_L,"&amp;$C$3&amp;",,,,USD)")</f>
        <v/>
      </c>
      <c r="F79" s="17">
        <f>FDSC("-",F$6,"FFI_NON_INT_INC(ANN_L,"&amp;$C$3&amp;",,,,USD)")</f>
        <v/>
      </c>
      <c r="G79" s="17">
        <f>FDSC("-",G$6,"FFI_NON_INT_INC(ANN_L,"&amp;$C$3&amp;",,,,USD)")</f>
        <v/>
      </c>
      <c r="H79" s="17">
        <f>FDSC("-",H$6,"FFI_NON_INT_INC(ANN_L,"&amp;$C$3&amp;",,,,USD)")</f>
        <v/>
      </c>
      <c r="I79" s="17">
        <f>FDSC("-",I$6,"FFI_NON_INT_INC(ANN_L,"&amp;$C$3&amp;",,,,USD)")</f>
        <v/>
      </c>
      <c r="J79" s="17">
        <f>FDSC("-",J$6,"FFI_NON_INT_INC(ANN_L,"&amp;$C$3&amp;",,,,USD)")</f>
        <v/>
      </c>
    </row>
    <row r="80">
      <c r="A80" s="6" t="inlineStr"/>
      <c r="B80" s="2" t="inlineStr">
        <is>
          <t>Non-interest income ($M) - FF</t>
        </is>
      </c>
      <c r="C80" s="11" t="inlineStr">
        <is>
          <t>FF_NON_INT_INC(ANN_R,{y},,,,USD)</t>
        </is>
      </c>
      <c r="D80" s="12" t="inlineStr">
        <is>
          <t>Verified</t>
        </is>
      </c>
      <c r="E80" s="17">
        <f>FDSC("-",E$6,"FF_NON_INT_INC(ANN_R,"&amp;$C$3&amp;",,,,USD)")</f>
        <v/>
      </c>
      <c r="F80" s="17">
        <f>FDSC("-",F$6,"FF_NON_INT_INC(ANN_R,"&amp;$C$3&amp;",,,,USD)")</f>
        <v/>
      </c>
      <c r="G80" s="17">
        <f>FDSC("-",G$6,"FF_NON_INT_INC(ANN_R,"&amp;$C$3&amp;",,,,USD)")</f>
        <v/>
      </c>
      <c r="H80" s="17">
        <f>FDSC("-",H$6,"FF_NON_INT_INC(ANN_R,"&amp;$C$3&amp;",,,,USD)")</f>
        <v/>
      </c>
      <c r="I80" s="17">
        <f>FDSC("-",I$6,"FF_NON_INT_INC(ANN_R,"&amp;$C$3&amp;",,,,USD)")</f>
        <v/>
      </c>
      <c r="J80" s="17">
        <f>FDSC("-",J$6,"FF_NON_INT_INC(ANN_R,"&amp;$C$3&amp;",,,,USD)")</f>
        <v/>
      </c>
    </row>
    <row r="81">
      <c r="A81" s="6" t="inlineStr"/>
      <c r="B81" s="2" t="inlineStr">
        <is>
          <t>Non-interest income ($M) - FB (US only)</t>
        </is>
      </c>
      <c r="C81" s="11" t="inlineStr">
        <is>
          <t>FB_NON_INT_INC(ANN,{y},,,RF,USD)</t>
        </is>
      </c>
      <c r="D81" s="12" t="inlineStr">
        <is>
          <t>Verified</t>
        </is>
      </c>
      <c r="E81" s="17">
        <f>FDSC("-",E$6,"FB_NON_INT_INC(ANN,"&amp;$C$3&amp;",,,RF,USD)")</f>
        <v/>
      </c>
      <c r="F81" s="17">
        <f>FDSC("-",F$6,"FB_NON_INT_INC(ANN,"&amp;$C$3&amp;",,,RF,USD)")</f>
        <v/>
      </c>
      <c r="G81" s="17">
        <f>FDSC("-",G$6,"FB_NON_INT_INC(ANN,"&amp;$C$3&amp;",,,RF,USD)")</f>
        <v/>
      </c>
      <c r="H81" s="17">
        <f>FDSC("-",H$6,"FB_NON_INT_INC(ANN,"&amp;$C$3&amp;",,,RF,USD)")</f>
        <v/>
      </c>
      <c r="I81" s="17">
        <f>FDSC("-",I$6,"FB_NON_INT_INC(ANN,"&amp;$C$3&amp;",,,RF,USD)")</f>
        <v/>
      </c>
      <c r="J81" s="17">
        <f>FDSC("-",J$6,"FB_NON_INT_INC(ANN,"&amp;$C$3&amp;",,,RF,USD)")</f>
        <v/>
      </c>
    </row>
    <row r="82">
      <c r="A82" s="6" t="inlineStr"/>
      <c r="B82" s="7" t="inlineStr">
        <is>
          <t>Non-interest income ($M) - CHAIN (FFI@FF@FB)</t>
        </is>
      </c>
      <c r="C82" s="11" t="inlineStr">
        <is>
          <t>FFI_NON_INT_INC(ANN_L,{y},,,,USD)@FF_NON_INT_INC(ANN_R,{y},,,,USD)@FB_NON_INT_INC(ANN,{y},,,RF,USD)</t>
        </is>
      </c>
      <c r="D82" s="24" t="inlineStr">
        <is>
          <t>Chain</t>
        </is>
      </c>
      <c r="E82" s="25">
        <f>FDSC("-",E$6,"FFI_NON_INT_INC(ANN_L,"&amp;$C$3&amp;",,,,USD)@FF_NON_INT_INC(ANN_R,"&amp;$C$3&amp;",,,,USD)@FB_NON_INT_INC(ANN,"&amp;$C$3&amp;",,,RF,USD)")</f>
        <v/>
      </c>
      <c r="F82" s="25">
        <f>FDSC("-",F$6,"FFI_NON_INT_INC(ANN_L,"&amp;$C$3&amp;",,,,USD)@FF_NON_INT_INC(ANN_R,"&amp;$C$3&amp;",,,,USD)@FB_NON_INT_INC(ANN,"&amp;$C$3&amp;",,,RF,USD)")</f>
        <v/>
      </c>
      <c r="G82" s="25">
        <f>FDSC("-",G$6,"FFI_NON_INT_INC(ANN_L,"&amp;$C$3&amp;",,,,USD)@FF_NON_INT_INC(ANN_R,"&amp;$C$3&amp;",,,,USD)@FB_NON_INT_INC(ANN,"&amp;$C$3&amp;",,,RF,USD)")</f>
        <v/>
      </c>
      <c r="H82" s="25">
        <f>FDSC("-",H$6,"FFI_NON_INT_INC(ANN_L,"&amp;$C$3&amp;",,,,USD)@FF_NON_INT_INC(ANN_R,"&amp;$C$3&amp;",,,,USD)@FB_NON_INT_INC(ANN,"&amp;$C$3&amp;",,,RF,USD)")</f>
        <v/>
      </c>
      <c r="I82" s="25">
        <f>FDSC("-",I$6,"FFI_NON_INT_INC(ANN_L,"&amp;$C$3&amp;",,,,USD)@FF_NON_INT_INC(ANN_R,"&amp;$C$3&amp;",,,,USD)@FB_NON_INT_INC(ANN,"&amp;$C$3&amp;",,,RF,USD)")</f>
        <v/>
      </c>
      <c r="J82" s="25">
        <f>FDSC("-",J$6,"FFI_NON_INT_INC(ANN_L,"&amp;$C$3&amp;",,,,USD)@FF_NON_INT_INC(ANN_R,"&amp;$C$3&amp;",,,,USD)@FB_NON_INT_INC(ANN,"&amp;$C$3&amp;",,,RF,USD)")</f>
        <v/>
      </c>
    </row>
    <row r="83">
      <c r="A83" s="14" t="inlineStr">
        <is>
          <t>Liquidity</t>
        </is>
      </c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</row>
    <row r="84">
      <c r="A84" s="6" t="inlineStr"/>
      <c r="B84" s="2" t="inlineStr">
        <is>
          <t>Loans ($M) - FFI</t>
        </is>
      </c>
      <c r="C84" s="11" t="inlineStr">
        <is>
          <t>FFI_LOAN_ADV_TOT(ANN_L,{y},,,,USD)</t>
        </is>
      </c>
      <c r="D84" s="12" t="inlineStr">
        <is>
          <t>Verified</t>
        </is>
      </c>
      <c r="E84" s="17">
        <f>FDSC("-",E$6,"FFI_LOAN_ADV_TOT(ANN_L,"&amp;$C$3&amp;",,,,USD)")</f>
        <v/>
      </c>
      <c r="F84" s="17">
        <f>FDSC("-",F$6,"FFI_LOAN_ADV_TOT(ANN_L,"&amp;$C$3&amp;",,,,USD)")</f>
        <v/>
      </c>
      <c r="G84" s="17">
        <f>FDSC("-",G$6,"FFI_LOAN_ADV_TOT(ANN_L,"&amp;$C$3&amp;",,,,USD)")</f>
        <v/>
      </c>
      <c r="H84" s="17">
        <f>FDSC("-",H$6,"FFI_LOAN_ADV_TOT(ANN_L,"&amp;$C$3&amp;",,,,USD)")</f>
        <v/>
      </c>
      <c r="I84" s="17">
        <f>FDSC("-",I$6,"FFI_LOAN_ADV_TOT(ANN_L,"&amp;$C$3&amp;",,,,USD)")</f>
        <v/>
      </c>
      <c r="J84" s="17">
        <f>FDSC("-",J$6,"FFI_LOAN_ADV_TOT(ANN_L,"&amp;$C$3&amp;",,,,USD)")</f>
        <v/>
      </c>
    </row>
    <row r="85">
      <c r="A85" s="6" t="inlineStr"/>
      <c r="B85" s="2" t="inlineStr">
        <is>
          <t>Loans ($M) - FF</t>
        </is>
      </c>
      <c r="C85" s="11" t="inlineStr">
        <is>
          <t>FF_BK_LOAN_TOT(ANN_R,{y},,,,USD)</t>
        </is>
      </c>
      <c r="D85" s="12" t="inlineStr">
        <is>
          <t>Verified</t>
        </is>
      </c>
      <c r="E85" s="17">
        <f>FDSC("-",E$6,"FF_BK_LOAN_TOT(ANN_R,"&amp;$C$3&amp;",,,,USD)")</f>
        <v/>
      </c>
      <c r="F85" s="17">
        <f>FDSC("-",F$6,"FF_BK_LOAN_TOT(ANN_R,"&amp;$C$3&amp;",,,,USD)")</f>
        <v/>
      </c>
      <c r="G85" s="17">
        <f>FDSC("-",G$6,"FF_BK_LOAN_TOT(ANN_R,"&amp;$C$3&amp;",,,,USD)")</f>
        <v/>
      </c>
      <c r="H85" s="17">
        <f>FDSC("-",H$6,"FF_BK_LOAN_TOT(ANN_R,"&amp;$C$3&amp;",,,,USD)")</f>
        <v/>
      </c>
      <c r="I85" s="17">
        <f>FDSC("-",I$6,"FF_BK_LOAN_TOT(ANN_R,"&amp;$C$3&amp;",,,,USD)")</f>
        <v/>
      </c>
      <c r="J85" s="17">
        <f>FDSC("-",J$6,"FF_BK_LOAN_TOT(ANN_R,"&amp;$C$3&amp;",,,,USD)")</f>
        <v/>
      </c>
    </row>
    <row r="86">
      <c r="A86" s="6" t="inlineStr"/>
      <c r="B86" s="2" t="inlineStr">
        <is>
          <t>Loans ($M) - FB (US only)</t>
        </is>
      </c>
      <c r="C86" s="11" t="inlineStr">
        <is>
          <t>FB_TOT_HFI_HFS_UNEARN_INC(ANN,{y},,,RF,USD)</t>
        </is>
      </c>
      <c r="D86" s="12" t="inlineStr">
        <is>
          <t>Verified</t>
        </is>
      </c>
      <c r="E86" s="17">
        <f>FDSC("-",E$6,"FB_TOT_HFI_HFS_UNEARN_INC(ANN,"&amp;$C$3&amp;",,,RF,USD)")</f>
        <v/>
      </c>
      <c r="F86" s="17">
        <f>FDSC("-",F$6,"FB_TOT_HFI_HFS_UNEARN_INC(ANN,"&amp;$C$3&amp;",,,RF,USD)")</f>
        <v/>
      </c>
      <c r="G86" s="17">
        <f>FDSC("-",G$6,"FB_TOT_HFI_HFS_UNEARN_INC(ANN,"&amp;$C$3&amp;",,,RF,USD)")</f>
        <v/>
      </c>
      <c r="H86" s="17">
        <f>FDSC("-",H$6,"FB_TOT_HFI_HFS_UNEARN_INC(ANN,"&amp;$C$3&amp;",,,RF,USD)")</f>
        <v/>
      </c>
      <c r="I86" s="17">
        <f>FDSC("-",I$6,"FB_TOT_HFI_HFS_UNEARN_INC(ANN,"&amp;$C$3&amp;",,,RF,USD)")</f>
        <v/>
      </c>
      <c r="J86" s="17">
        <f>FDSC("-",J$6,"FB_TOT_HFI_HFS_UNEARN_INC(ANN,"&amp;$C$3&amp;",,,RF,USD)")</f>
        <v/>
      </c>
    </row>
    <row r="87">
      <c r="A87" s="6" t="inlineStr"/>
      <c r="B87" s="7" t="inlineStr">
        <is>
          <t>Loans ($M) - CHAIN (FFI@FF@FB)</t>
        </is>
      </c>
      <c r="C87" s="11" t="inlineStr">
        <is>
          <t>FFI_LOAN_ADV_TOT(ANN_L,{y},,,,USD)@FF_BK_LOAN_TOT(ANN_R,{y},,,,USD)@FB_TOT_HFI_HFS_UNEARN_INC(ANN,{y},,,RF,USD)</t>
        </is>
      </c>
      <c r="D87" s="24" t="inlineStr">
        <is>
          <t>Chain</t>
        </is>
      </c>
      <c r="E87" s="25">
        <f>FDSC("-",E$6,"FFI_LOAN_ADV_TOT(ANN_L,"&amp;$C$3&amp;",,,,USD)@FF_BK_LOAN_TOT(ANN_R,"&amp;$C$3&amp;",,,,USD)@FB_TOT_HFI_HFS_UNEARN_INC(ANN,"&amp;$C$3&amp;",,,RF,USD)")</f>
        <v/>
      </c>
      <c r="F87" s="25">
        <f>FDSC("-",F$6,"FFI_LOAN_ADV_TOT(ANN_L,"&amp;$C$3&amp;",,,,USD)@FF_BK_LOAN_TOT(ANN_R,"&amp;$C$3&amp;",,,,USD)@FB_TOT_HFI_HFS_UNEARN_INC(ANN,"&amp;$C$3&amp;",,,RF,USD)")</f>
        <v/>
      </c>
      <c r="G87" s="25">
        <f>FDSC("-",G$6,"FFI_LOAN_ADV_TOT(ANN_L,"&amp;$C$3&amp;",,,,USD)@FF_BK_LOAN_TOT(ANN_R,"&amp;$C$3&amp;",,,,USD)@FB_TOT_HFI_HFS_UNEARN_INC(ANN,"&amp;$C$3&amp;",,,RF,USD)")</f>
        <v/>
      </c>
      <c r="H87" s="25">
        <f>FDSC("-",H$6,"FFI_LOAN_ADV_TOT(ANN_L,"&amp;$C$3&amp;",,,,USD)@FF_BK_LOAN_TOT(ANN_R,"&amp;$C$3&amp;",,,,USD)@FB_TOT_HFI_HFS_UNEARN_INC(ANN,"&amp;$C$3&amp;",,,RF,USD)")</f>
        <v/>
      </c>
      <c r="I87" s="25">
        <f>FDSC("-",I$6,"FFI_LOAN_ADV_TOT(ANN_L,"&amp;$C$3&amp;",,,,USD)@FF_BK_LOAN_TOT(ANN_R,"&amp;$C$3&amp;",,,,USD)@FB_TOT_HFI_HFS_UNEARN_INC(ANN,"&amp;$C$3&amp;",,,RF,USD)")</f>
        <v/>
      </c>
      <c r="J87" s="25">
        <f>FDSC("-",J$6,"FFI_LOAN_ADV_TOT(ANN_L,"&amp;$C$3&amp;",,,,USD)@FF_BK_LOAN_TOT(ANN_R,"&amp;$C$3&amp;",,,,USD)@FB_TOT_HFI_HFS_UNEARN_INC(ANN,"&amp;$C$3&amp;",,,RF,USD)")</f>
        <v/>
      </c>
    </row>
    <row r="88">
      <c r="A88" s="6" t="inlineStr"/>
      <c r="B88" s="2" t="inlineStr">
        <is>
          <t>Deposits ($M) - FFI</t>
        </is>
      </c>
      <c r="C88" s="11" t="inlineStr">
        <is>
          <t>FFI_DEPS_TOT(ANN_L,{y},,,,USD)</t>
        </is>
      </c>
      <c r="D88" s="12" t="inlineStr">
        <is>
          <t>Verified</t>
        </is>
      </c>
      <c r="E88" s="17">
        <f>FDSC("-",E$6,"FFI_DEPS_TOT(ANN_L,"&amp;$C$3&amp;",,,,USD)")</f>
        <v/>
      </c>
      <c r="F88" s="17">
        <f>FDSC("-",F$6,"FFI_DEPS_TOT(ANN_L,"&amp;$C$3&amp;",,,,USD)")</f>
        <v/>
      </c>
      <c r="G88" s="17">
        <f>FDSC("-",G$6,"FFI_DEPS_TOT(ANN_L,"&amp;$C$3&amp;",,,,USD)")</f>
        <v/>
      </c>
      <c r="H88" s="17">
        <f>FDSC("-",H$6,"FFI_DEPS_TOT(ANN_L,"&amp;$C$3&amp;",,,,USD)")</f>
        <v/>
      </c>
      <c r="I88" s="17">
        <f>FDSC("-",I$6,"FFI_DEPS_TOT(ANN_L,"&amp;$C$3&amp;",,,,USD)")</f>
        <v/>
      </c>
      <c r="J88" s="17">
        <f>FDSC("-",J$6,"FFI_DEPS_TOT(ANN_L,"&amp;$C$3&amp;",,,,USD)")</f>
        <v/>
      </c>
    </row>
    <row r="89">
      <c r="A89" s="6" t="inlineStr"/>
      <c r="B89" s="2" t="inlineStr">
        <is>
          <t>Deposits ($M) - FF</t>
        </is>
      </c>
      <c r="C89" s="11" t="inlineStr">
        <is>
          <t>FF_DEPS(ANN_R,{y},,,,USD)</t>
        </is>
      </c>
      <c r="D89" s="12" t="inlineStr">
        <is>
          <t>Verified</t>
        </is>
      </c>
      <c r="E89" s="17">
        <f>FDSC("-",E$6,"FF_DEPS(ANN_R,"&amp;$C$3&amp;",,,,USD)")</f>
        <v/>
      </c>
      <c r="F89" s="17">
        <f>FDSC("-",F$6,"FF_DEPS(ANN_R,"&amp;$C$3&amp;",,,,USD)")</f>
        <v/>
      </c>
      <c r="G89" s="17">
        <f>FDSC("-",G$6,"FF_DEPS(ANN_R,"&amp;$C$3&amp;",,,,USD)")</f>
        <v/>
      </c>
      <c r="H89" s="17">
        <f>FDSC("-",H$6,"FF_DEPS(ANN_R,"&amp;$C$3&amp;",,,,USD)")</f>
        <v/>
      </c>
      <c r="I89" s="17">
        <f>FDSC("-",I$6,"FF_DEPS(ANN_R,"&amp;$C$3&amp;",,,,USD)")</f>
        <v/>
      </c>
      <c r="J89" s="17">
        <f>FDSC("-",J$6,"FF_DEPS(ANN_R,"&amp;$C$3&amp;",,,,USD)")</f>
        <v/>
      </c>
    </row>
    <row r="90">
      <c r="A90" s="6" t="inlineStr"/>
      <c r="B90" s="2" t="inlineStr">
        <is>
          <t>Deposits ($M) - FB (US only)</t>
        </is>
      </c>
      <c r="C90" s="11" t="inlineStr">
        <is>
          <t>FB_DEPS(ANN,{y},,,RF,USD)</t>
        </is>
      </c>
      <c r="D90" s="12" t="inlineStr">
        <is>
          <t>Verified</t>
        </is>
      </c>
      <c r="E90" s="17">
        <f>FDSC("-",E$6,"FB_DEPS(ANN,"&amp;$C$3&amp;",,,RF,USD)")</f>
        <v/>
      </c>
      <c r="F90" s="17">
        <f>FDSC("-",F$6,"FB_DEPS(ANN,"&amp;$C$3&amp;",,,RF,USD)")</f>
        <v/>
      </c>
      <c r="G90" s="17">
        <f>FDSC("-",G$6,"FB_DEPS(ANN,"&amp;$C$3&amp;",,,RF,USD)")</f>
        <v/>
      </c>
      <c r="H90" s="17">
        <f>FDSC("-",H$6,"FB_DEPS(ANN,"&amp;$C$3&amp;",,,RF,USD)")</f>
        <v/>
      </c>
      <c r="I90" s="17">
        <f>FDSC("-",I$6,"FB_DEPS(ANN,"&amp;$C$3&amp;",,,RF,USD)")</f>
        <v/>
      </c>
      <c r="J90" s="17">
        <f>FDSC("-",J$6,"FB_DEPS(ANN,"&amp;$C$3&amp;",,,RF,USD)")</f>
        <v/>
      </c>
    </row>
    <row r="91">
      <c r="A91" s="6" t="inlineStr"/>
      <c r="B91" s="7" t="inlineStr">
        <is>
          <t>Deposits ($M) - CHAIN (FFI@FF@FB)</t>
        </is>
      </c>
      <c r="C91" s="11" t="inlineStr">
        <is>
          <t>FFI_DEPS_TOT(ANN_L,{y},,,,USD)@FF_DEPS(ANN_R,{y},,,,USD)@FB_DEPS(ANN,{y},,,RF,USD)</t>
        </is>
      </c>
      <c r="D91" s="24" t="inlineStr">
        <is>
          <t>Chain</t>
        </is>
      </c>
      <c r="E91" s="25">
        <f>FDSC("-",E$6,"FFI_DEPS_TOT(ANN_L,"&amp;$C$3&amp;",,,,USD)@FF_DEPS(ANN_R,"&amp;$C$3&amp;",,,,USD)@FB_DEPS(ANN,"&amp;$C$3&amp;",,,RF,USD)")</f>
        <v/>
      </c>
      <c r="F91" s="25">
        <f>FDSC("-",F$6,"FFI_DEPS_TOT(ANN_L,"&amp;$C$3&amp;",,,,USD)@FF_DEPS(ANN_R,"&amp;$C$3&amp;",,,,USD)@FB_DEPS(ANN,"&amp;$C$3&amp;",,,RF,USD)")</f>
        <v/>
      </c>
      <c r="G91" s="25">
        <f>FDSC("-",G$6,"FFI_DEPS_TOT(ANN_L,"&amp;$C$3&amp;",,,,USD)@FF_DEPS(ANN_R,"&amp;$C$3&amp;",,,,USD)@FB_DEPS(ANN,"&amp;$C$3&amp;",,,RF,USD)")</f>
        <v/>
      </c>
      <c r="H91" s="25">
        <f>FDSC("-",H$6,"FFI_DEPS_TOT(ANN_L,"&amp;$C$3&amp;",,,,USD)@FF_DEPS(ANN_R,"&amp;$C$3&amp;",,,,USD)@FB_DEPS(ANN,"&amp;$C$3&amp;",,,RF,USD)")</f>
        <v/>
      </c>
      <c r="I91" s="25">
        <f>FDSC("-",I$6,"FFI_DEPS_TOT(ANN_L,"&amp;$C$3&amp;",,,,USD)@FF_DEPS(ANN_R,"&amp;$C$3&amp;",,,,USD)@FB_DEPS(ANN,"&amp;$C$3&amp;",,,RF,USD)")</f>
        <v/>
      </c>
      <c r="J91" s="25">
        <f>FDSC("-",J$6,"FFI_DEPS_TOT(ANN_L,"&amp;$C$3&amp;",,,,USD)@FF_DEPS(ANN_R,"&amp;$C$3&amp;",,,,USD)@FB_DEPS(ANN,"&amp;$C$3&amp;",,,RF,USD)")</f>
        <v/>
      </c>
    </row>
    <row r="92">
      <c r="A92" s="6" t="inlineStr"/>
      <c r="B92" s="2" t="inlineStr">
        <is>
          <t>Liquidity coverage ratio (%) - FFI</t>
        </is>
      </c>
      <c r="C92" s="11" t="inlineStr">
        <is>
          <t>FFI_BK_LIQ_COVG_RATIO(ANN_L,{y})</t>
        </is>
      </c>
      <c r="D92" s="12" t="inlineStr">
        <is>
          <t>Verified</t>
        </is>
      </c>
      <c r="E92" s="18">
        <f>FDSC("-",E$6,"FFI_BK_LIQ_COVG_RATIO(ANN_L,"&amp;$C$3&amp;")")</f>
        <v/>
      </c>
      <c r="F92" s="18">
        <f>FDSC("-",F$6,"FFI_BK_LIQ_COVG_RATIO(ANN_L,"&amp;$C$3&amp;")")</f>
        <v/>
      </c>
      <c r="G92" s="18">
        <f>FDSC("-",G$6,"FFI_BK_LIQ_COVG_RATIO(ANN_L,"&amp;$C$3&amp;")")</f>
        <v/>
      </c>
      <c r="H92" s="18">
        <f>FDSC("-",H$6,"FFI_BK_LIQ_COVG_RATIO(ANN_L,"&amp;$C$3&amp;")")</f>
        <v/>
      </c>
      <c r="I92" s="18">
        <f>FDSC("-",I$6,"FFI_BK_LIQ_COVG_RATIO(ANN_L,"&amp;$C$3&amp;")")</f>
        <v/>
      </c>
      <c r="J92" s="18">
        <f>FDSC("-",J$6,"FFI_BK_LIQ_COVG_RATIO(ANN_L,"&amp;$C$3&amp;")")</f>
        <v/>
      </c>
    </row>
    <row r="93">
      <c r="A93" s="6" t="inlineStr"/>
      <c r="B93" s="2" t="inlineStr">
        <is>
          <t>Liquidity coverage ratio (%) - FF</t>
        </is>
      </c>
      <c r="C93" s="11" t="inlineStr">
        <is>
          <t>FF_BK_LIQ_COVG_RATIO(ANN_R,{y})</t>
        </is>
      </c>
      <c r="D93" s="12" t="inlineStr">
        <is>
          <t>Verified</t>
        </is>
      </c>
      <c r="E93" s="18">
        <f>FDSC("-",E$6,"FF_BK_LIQ_COVG_RATIO(ANN_R,"&amp;$C$3&amp;")")</f>
        <v/>
      </c>
      <c r="F93" s="18">
        <f>FDSC("-",F$6,"FF_BK_LIQ_COVG_RATIO(ANN_R,"&amp;$C$3&amp;")")</f>
        <v/>
      </c>
      <c r="G93" s="18">
        <f>FDSC("-",G$6,"FF_BK_LIQ_COVG_RATIO(ANN_R,"&amp;$C$3&amp;")")</f>
        <v/>
      </c>
      <c r="H93" s="18">
        <f>FDSC("-",H$6,"FF_BK_LIQ_COVG_RATIO(ANN_R,"&amp;$C$3&amp;")")</f>
        <v/>
      </c>
      <c r="I93" s="18">
        <f>FDSC("-",I$6,"FF_BK_LIQ_COVG_RATIO(ANN_R,"&amp;$C$3&amp;")")</f>
        <v/>
      </c>
      <c r="J93" s="18">
        <f>FDSC("-",J$6,"FF_BK_LIQ_COVG_RATIO(ANN_R,"&amp;$C$3&amp;")")</f>
        <v/>
      </c>
    </row>
    <row r="94">
      <c r="A94" s="6" t="inlineStr"/>
      <c r="B94" s="7" t="inlineStr">
        <is>
          <t>Liquidity coverage ratio (%) - CHAIN (FFI@FF@FB)</t>
        </is>
      </c>
      <c r="C94" s="11" t="inlineStr">
        <is>
          <t>FFI_BK_LIQ_COVG_RATIO(ANN_L,{y})@FF_BK_LIQ_COVG_RATIO(ANN_R,{y})</t>
        </is>
      </c>
      <c r="D94" s="24" t="inlineStr">
        <is>
          <t>Chain</t>
        </is>
      </c>
      <c r="E94" s="26">
        <f>FDSC("-",E$6,"FFI_BK_LIQ_COVG_RATIO(ANN_L,"&amp;$C$3&amp;")@FF_BK_LIQ_COVG_RATIO(ANN_R,"&amp;$C$3&amp;")")</f>
        <v/>
      </c>
      <c r="F94" s="26">
        <f>FDSC("-",F$6,"FFI_BK_LIQ_COVG_RATIO(ANN_L,"&amp;$C$3&amp;")@FF_BK_LIQ_COVG_RATIO(ANN_R,"&amp;$C$3&amp;")")</f>
        <v/>
      </c>
      <c r="G94" s="26">
        <f>FDSC("-",G$6,"FFI_BK_LIQ_COVG_RATIO(ANN_L,"&amp;$C$3&amp;")@FF_BK_LIQ_COVG_RATIO(ANN_R,"&amp;$C$3&amp;")")</f>
        <v/>
      </c>
      <c r="H94" s="26">
        <f>FDSC("-",H$6,"FFI_BK_LIQ_COVG_RATIO(ANN_L,"&amp;$C$3&amp;")@FF_BK_LIQ_COVG_RATIO(ANN_R,"&amp;$C$3&amp;")")</f>
        <v/>
      </c>
      <c r="I94" s="26">
        <f>FDSC("-",I$6,"FFI_BK_LIQ_COVG_RATIO(ANN_L,"&amp;$C$3&amp;")@FF_BK_LIQ_COVG_RATIO(ANN_R,"&amp;$C$3&amp;")")</f>
        <v/>
      </c>
      <c r="J94" s="26">
        <f>FDSC("-",J$6,"FFI_BK_LIQ_COVG_RATIO(ANN_L,"&amp;$C$3&amp;")@FF_BK_LIQ_COVG_RATIO(ANN_R,"&amp;$C$3&amp;")")</f>
        <v/>
      </c>
    </row>
    <row r="95">
      <c r="A95" s="6" t="inlineStr"/>
      <c r="B95" s="2" t="inlineStr">
        <is>
          <t>Net stable funding ratio (%) - FFI</t>
        </is>
      </c>
      <c r="C95" s="11" t="inlineStr">
        <is>
          <t>FFI_BK_NSFR(ANN_L,{y})</t>
        </is>
      </c>
      <c r="D95" s="12" t="inlineStr">
        <is>
          <t>Verified</t>
        </is>
      </c>
      <c r="E95" s="18">
        <f>FDSC("-",E$6,"FFI_BK_NSFR(ANN_L,"&amp;$C$3&amp;")")</f>
        <v/>
      </c>
      <c r="F95" s="18">
        <f>FDSC("-",F$6,"FFI_BK_NSFR(ANN_L,"&amp;$C$3&amp;")")</f>
        <v/>
      </c>
      <c r="G95" s="18">
        <f>FDSC("-",G$6,"FFI_BK_NSFR(ANN_L,"&amp;$C$3&amp;")")</f>
        <v/>
      </c>
      <c r="H95" s="18">
        <f>FDSC("-",H$6,"FFI_BK_NSFR(ANN_L,"&amp;$C$3&amp;")")</f>
        <v/>
      </c>
      <c r="I95" s="18">
        <f>FDSC("-",I$6,"FFI_BK_NSFR(ANN_L,"&amp;$C$3&amp;")")</f>
        <v/>
      </c>
      <c r="J95" s="18">
        <f>FDSC("-",J$6,"FFI_BK_NSFR(ANN_L,"&amp;$C$3&amp;")")</f>
        <v/>
      </c>
    </row>
    <row r="96">
      <c r="A96" s="14" t="inlineStr">
        <is>
          <t>Sensitivity</t>
        </is>
      </c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</row>
    <row r="97">
      <c r="A97" s="6" t="inlineStr"/>
      <c r="B97" s="2" t="inlineStr">
        <is>
          <t>Loans to customers @ amortized cost ($M) - FFI</t>
        </is>
      </c>
      <c r="C97" s="11" t="inlineStr">
        <is>
          <t>FFI_LOAN_AMORT_CUST(ANN_L,{y},,,,USD)</t>
        </is>
      </c>
      <c r="D97" s="12" t="inlineStr">
        <is>
          <t>Verified</t>
        </is>
      </c>
      <c r="E97" s="17">
        <f>FDSC("-",E$6,"FFI_LOAN_AMORT_CUST(ANN_L,"&amp;$C$3&amp;",,,,USD)")</f>
        <v/>
      </c>
      <c r="F97" s="17">
        <f>FDSC("-",F$6,"FFI_LOAN_AMORT_CUST(ANN_L,"&amp;$C$3&amp;",,,,USD)")</f>
        <v/>
      </c>
      <c r="G97" s="17">
        <f>FDSC("-",G$6,"FFI_LOAN_AMORT_CUST(ANN_L,"&amp;$C$3&amp;",,,,USD)")</f>
        <v/>
      </c>
      <c r="H97" s="17">
        <f>FDSC("-",H$6,"FFI_LOAN_AMORT_CUST(ANN_L,"&amp;$C$3&amp;",,,,USD)")</f>
        <v/>
      </c>
      <c r="I97" s="17">
        <f>FDSC("-",I$6,"FFI_LOAN_AMORT_CUST(ANN_L,"&amp;$C$3&amp;",,,,USD)")</f>
        <v/>
      </c>
      <c r="J97" s="17">
        <f>FDSC("-",J$6,"FFI_LOAN_AMORT_CUST(ANN_L,"&amp;$C$3&amp;",,,,USD)")</f>
        <v/>
      </c>
    </row>
    <row r="98">
      <c r="A98" s="6" t="inlineStr"/>
      <c r="B98" s="2" t="inlineStr">
        <is>
          <t>Loans to customers @ amortized cost ($M) - FF</t>
        </is>
      </c>
      <c r="C98" s="11" t="inlineStr">
        <is>
          <t>FF_LOAN_NET(ANN_R,{y},,,,USD)</t>
        </is>
      </c>
      <c r="D98" s="12" t="inlineStr">
        <is>
          <t>Verified</t>
        </is>
      </c>
      <c r="E98" s="17">
        <f>FDSC("-",E$6,"FF_LOAN_NET(ANN_R,"&amp;$C$3&amp;",,,,USD)")</f>
        <v/>
      </c>
      <c r="F98" s="17">
        <f>FDSC("-",F$6,"FF_LOAN_NET(ANN_R,"&amp;$C$3&amp;",,,,USD)")</f>
        <v/>
      </c>
      <c r="G98" s="17">
        <f>FDSC("-",G$6,"FF_LOAN_NET(ANN_R,"&amp;$C$3&amp;",,,,USD)")</f>
        <v/>
      </c>
      <c r="H98" s="17">
        <f>FDSC("-",H$6,"FF_LOAN_NET(ANN_R,"&amp;$C$3&amp;",,,,USD)")</f>
        <v/>
      </c>
      <c r="I98" s="17">
        <f>FDSC("-",I$6,"FF_LOAN_NET(ANN_R,"&amp;$C$3&amp;",,,,USD)")</f>
        <v/>
      </c>
      <c r="J98" s="17">
        <f>FDSC("-",J$6,"FF_LOAN_NET(ANN_R,"&amp;$C$3&amp;",,,,USD)")</f>
        <v/>
      </c>
    </row>
    <row r="99">
      <c r="A99" s="6" t="inlineStr"/>
      <c r="B99" s="7" t="inlineStr">
        <is>
          <t>Loans to customers @ amortized cost ($M) - CHAIN (FFI@FF@FB)</t>
        </is>
      </c>
      <c r="C99" s="11" t="inlineStr">
        <is>
          <t>FFI_LOAN_AMORT_CUST(ANN_L,{y},,,,USD)@FF_LOAN_NET(ANN_R,{y},,,,USD)</t>
        </is>
      </c>
      <c r="D99" s="24" t="inlineStr">
        <is>
          <t>Chain</t>
        </is>
      </c>
      <c r="E99" s="25">
        <f>FDSC("-",E$6,"FFI_LOAN_AMORT_CUST(ANN_L,"&amp;$C$3&amp;",,,,USD)@FF_LOAN_NET(ANN_R,"&amp;$C$3&amp;",,,,USD)")</f>
        <v/>
      </c>
      <c r="F99" s="25">
        <f>FDSC("-",F$6,"FFI_LOAN_AMORT_CUST(ANN_L,"&amp;$C$3&amp;",,,,USD)@FF_LOAN_NET(ANN_R,"&amp;$C$3&amp;",,,,USD)")</f>
        <v/>
      </c>
      <c r="G99" s="25">
        <f>FDSC("-",G$6,"FFI_LOAN_AMORT_CUST(ANN_L,"&amp;$C$3&amp;",,,,USD)@FF_LOAN_NET(ANN_R,"&amp;$C$3&amp;",,,,USD)")</f>
        <v/>
      </c>
      <c r="H99" s="25">
        <f>FDSC("-",H$6,"FFI_LOAN_AMORT_CUST(ANN_L,"&amp;$C$3&amp;",,,,USD)@FF_LOAN_NET(ANN_R,"&amp;$C$3&amp;",,,,USD)")</f>
        <v/>
      </c>
      <c r="I99" s="25">
        <f>FDSC("-",I$6,"FFI_LOAN_AMORT_CUST(ANN_L,"&amp;$C$3&amp;",,,,USD)@FF_LOAN_NET(ANN_R,"&amp;$C$3&amp;",,,,USD)")</f>
        <v/>
      </c>
      <c r="J99" s="25">
        <f>FDSC("-",J$6,"FFI_LOAN_AMORT_CUST(ANN_L,"&amp;$C$3&amp;",,,,USD)@FF_LOAN_NET(ANN_R,"&amp;$C$3&amp;",,,,USD)")</f>
        <v/>
      </c>
    </row>
    <row r="100">
      <c r="A100" s="6" t="inlineStr"/>
      <c r="B100" s="2" t="inlineStr">
        <is>
          <t>Loans to FIs @ amortized cost ($M) - FFI</t>
        </is>
      </c>
      <c r="C100" s="11" t="inlineStr">
        <is>
          <t>FFI_LOAN_AMORT_BK(ANN_L,{y},,,,USD)</t>
        </is>
      </c>
      <c r="D100" s="12" t="inlineStr">
        <is>
          <t>Verified</t>
        </is>
      </c>
      <c r="E100" s="17">
        <f>FDSC("-",E$6,"FFI_LOAN_AMORT_BK(ANN_L,"&amp;$C$3&amp;",,,,USD)")</f>
        <v/>
      </c>
      <c r="F100" s="17">
        <f>FDSC("-",F$6,"FFI_LOAN_AMORT_BK(ANN_L,"&amp;$C$3&amp;",,,,USD)")</f>
        <v/>
      </c>
      <c r="G100" s="17">
        <f>FDSC("-",G$6,"FFI_LOAN_AMORT_BK(ANN_L,"&amp;$C$3&amp;",,,,USD)")</f>
        <v/>
      </c>
      <c r="H100" s="17">
        <f>FDSC("-",H$6,"FFI_LOAN_AMORT_BK(ANN_L,"&amp;$C$3&amp;",,,,USD)")</f>
        <v/>
      </c>
      <c r="I100" s="17">
        <f>FDSC("-",I$6,"FFI_LOAN_AMORT_BK(ANN_L,"&amp;$C$3&amp;",,,,USD)")</f>
        <v/>
      </c>
      <c r="J100" s="17">
        <f>FDSC("-",J$6,"FFI_LOAN_AMORT_BK(ANN_L,"&amp;$C$3&amp;",,,,USD)")</f>
        <v/>
      </c>
    </row>
  </sheetData>
  <conditionalFormatting sqref="E8:J101">
    <cfRule type="expression" priority="1" dxfId="0">
      <formula>IFERROR(E8="-",ISNA(E8))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8"/>
  <sheetViews>
    <sheetView topLeftCell="A1" zoomScale="9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5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5" t="inlineStr">
        <is>
          <t>Consensus estimate code test - US peers</t>
        </is>
      </c>
    </row>
    <row r="2">
      <c r="A2" s="6" t="inlineStr">
        <is>
          <t>Mean consensus (FE_). NTM = next twelve months; FY = fiscal year in C3 / C4. $ in millions USD; % as whole numbers.</t>
        </is>
      </c>
    </row>
    <row r="3">
      <c r="B3" s="7" t="inlineStr">
        <is>
          <t>Fiscal year 1</t>
        </is>
      </c>
      <c r="C3" s="8" t="n">
        <v>2026</v>
      </c>
    </row>
    <row r="4">
      <c r="B4" s="7" t="inlineStr">
        <is>
          <t>Fiscal year 2</t>
        </is>
      </c>
      <c r="C4" s="8" t="n">
        <v>2027</v>
      </c>
    </row>
    <row r="7">
      <c r="A7" s="9" t="inlineStr">
        <is>
          <t>Category</t>
        </is>
      </c>
      <c r="B7" s="9" t="inlineStr">
        <is>
          <t>Metric</t>
        </is>
      </c>
      <c r="C7" s="9" t="inlineStr">
        <is>
          <t>FactSet code</t>
        </is>
      </c>
      <c r="D7" s="9" t="inlineStr">
        <is>
          <t>Catalog status</t>
        </is>
      </c>
      <c r="E7" s="10" t="inlineStr">
        <is>
          <t>HBAN</t>
        </is>
      </c>
      <c r="F7" s="10" t="inlineStr">
        <is>
          <t>FITB</t>
        </is>
      </c>
      <c r="G7" s="10" t="inlineStr">
        <is>
          <t>RF</t>
        </is>
      </c>
      <c r="H7" s="10" t="inlineStr">
        <is>
          <t>KEY</t>
        </is>
      </c>
      <c r="I7" s="10" t="inlineStr">
        <is>
          <t>PNC</t>
        </is>
      </c>
    </row>
    <row r="8">
      <c r="A8" s="6" t="inlineStr"/>
      <c r="B8" s="2" t="inlineStr">
        <is>
          <t>Company name</t>
        </is>
      </c>
      <c r="C8" s="11" t="inlineStr">
        <is>
          <t>FG_COMPANY_NAME</t>
        </is>
      </c>
      <c r="D8" s="12" t="inlineStr">
        <is>
          <t>Verified</t>
        </is>
      </c>
      <c r="E8" s="13">
        <f>_xlfn.IFNA(FDS(E$7,"FG_COMPANY_NAME"),"-")</f>
        <v/>
      </c>
      <c r="F8" s="13">
        <f>_xlfn.IFNA(FDS(F$7,"FG_COMPANY_NAME"),"-")</f>
        <v/>
      </c>
      <c r="G8" s="13">
        <f>_xlfn.IFNA(FDS(G$7,"FG_COMPANY_NAME"),"-")</f>
        <v/>
      </c>
      <c r="H8" s="13">
        <f>_xlfn.IFNA(FDS(H$7,"FG_COMPANY_NAME"),"-")</f>
        <v/>
      </c>
      <c r="I8" s="13">
        <f>_xlfn.IFNA(FDS(I$7,"FG_COMPANY_NAME"),"-")</f>
        <v/>
      </c>
    </row>
    <row r="9">
      <c r="A9" s="14" t="inlineStr">
        <is>
          <t>NTM (next twelve months)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</row>
    <row r="10">
      <c r="A10" s="6" t="inlineStr"/>
      <c r="B10" s="2" t="inlineStr">
        <is>
          <t>EPS ($)</t>
        </is>
      </c>
      <c r="C10" s="11" t="inlineStr">
        <is>
          <t>FE_ESTIMATE(EPS,MEAN,NTMA,,NOW,,,'CURRENCY=USD')</t>
        </is>
      </c>
      <c r="D10" s="12" t="inlineStr">
        <is>
          <t>Verified</t>
        </is>
      </c>
      <c r="E10" s="19">
        <f>_xlfn.IFNA(FDS(E$7,"FE_ESTIMATE(EPS,MEAN,NTMA,,NOW,,,'CURRENCY=USD')"),"-")</f>
        <v/>
      </c>
      <c r="F10" s="19">
        <f>_xlfn.IFNA(FDS(F$7,"FE_ESTIMATE(EPS,MEAN,NTMA,,NOW,,,'CURRENCY=USD')"),"-")</f>
        <v/>
      </c>
      <c r="G10" s="19">
        <f>_xlfn.IFNA(FDS(G$7,"FE_ESTIMATE(EPS,MEAN,NTMA,,NOW,,,'CURRENCY=USD')"),"-")</f>
        <v/>
      </c>
      <c r="H10" s="19">
        <f>_xlfn.IFNA(FDS(H$7,"FE_ESTIMATE(EPS,MEAN,NTMA,,NOW,,,'CURRENCY=USD')"),"-")</f>
        <v/>
      </c>
      <c r="I10" s="19">
        <f>_xlfn.IFNA(FDS(I$7,"FE_ESTIMATE(EPS,MEAN,NTMA,,NOW,,,'CURRENCY=USD')"),"-")</f>
        <v/>
      </c>
    </row>
    <row r="11">
      <c r="A11" s="6" t="inlineStr"/>
      <c r="B11" s="2" t="inlineStr">
        <is>
          <t>Revenue ($M)</t>
        </is>
      </c>
      <c r="C11" s="11" t="inlineStr">
        <is>
          <t>FE_ESTIMATE(SALES,MEAN,NTMA,,NOW,,,'CURRENCY=USD')</t>
        </is>
      </c>
      <c r="D11" s="12" t="inlineStr">
        <is>
          <t>Verified</t>
        </is>
      </c>
      <c r="E11" s="17">
        <f>_xlfn.IFNA(FDS(E$7,"FE_ESTIMATE(SALES,MEAN,NTMA,,NOW,,,'CURRENCY=USD')"),"-")</f>
        <v/>
      </c>
      <c r="F11" s="17">
        <f>_xlfn.IFNA(FDS(F$7,"FE_ESTIMATE(SALES,MEAN,NTMA,,NOW,,,'CURRENCY=USD')"),"-")</f>
        <v/>
      </c>
      <c r="G11" s="17">
        <f>_xlfn.IFNA(FDS(G$7,"FE_ESTIMATE(SALES,MEAN,NTMA,,NOW,,,'CURRENCY=USD')"),"-")</f>
        <v/>
      </c>
      <c r="H11" s="17">
        <f>_xlfn.IFNA(FDS(H$7,"FE_ESTIMATE(SALES,MEAN,NTMA,,NOW,,,'CURRENCY=USD')"),"-")</f>
        <v/>
      </c>
      <c r="I11" s="17">
        <f>_xlfn.IFNA(FDS(I$7,"FE_ESTIMATE(SALES,MEAN,NTMA,,NOW,,,'CURRENCY=USD')"),"-")</f>
        <v/>
      </c>
    </row>
    <row r="12">
      <c r="A12" s="6" t="inlineStr"/>
      <c r="B12" s="2" t="inlineStr">
        <is>
          <t>Net interest income ($M)</t>
        </is>
      </c>
      <c r="C12" s="11" t="inlineStr">
        <is>
          <t>FE_ESTIMATE(NETINTERESTINC,MEAN,NTMA,,NOW,,,'CURRENCY=USD')</t>
        </is>
      </c>
      <c r="D12" s="12" t="inlineStr">
        <is>
          <t>Verified</t>
        </is>
      </c>
      <c r="E12" s="17">
        <f>_xlfn.IFNA(FDS(E$7,"FE_ESTIMATE(NETINTERESTINC,MEAN,NTMA,,NOW,,,'CURRENCY=USD')"),"-")</f>
        <v/>
      </c>
      <c r="F12" s="17">
        <f>_xlfn.IFNA(FDS(F$7,"FE_ESTIMATE(NETINTERESTINC,MEAN,NTMA,,NOW,,,'CURRENCY=USD')"),"-")</f>
        <v/>
      </c>
      <c r="G12" s="17">
        <f>_xlfn.IFNA(FDS(G$7,"FE_ESTIMATE(NETINTERESTINC,MEAN,NTMA,,NOW,,,'CURRENCY=USD')"),"-")</f>
        <v/>
      </c>
      <c r="H12" s="17">
        <f>_xlfn.IFNA(FDS(H$7,"FE_ESTIMATE(NETINTERESTINC,MEAN,NTMA,,NOW,,,'CURRENCY=USD')"),"-")</f>
        <v/>
      </c>
      <c r="I12" s="17">
        <f>_xlfn.IFNA(FDS(I$7,"FE_ESTIMATE(NETINTERESTINC,MEAN,NTMA,,NOW,,,'CURRENCY=USD')"),"-")</f>
        <v/>
      </c>
    </row>
    <row r="13">
      <c r="A13" s="6" t="inlineStr"/>
      <c r="B13" s="2" t="inlineStr">
        <is>
          <t>Non-interest income ($M)</t>
        </is>
      </c>
      <c r="C13" s="11" t="inlineStr">
        <is>
          <t>FE_ESTIMATE(NON_INT_INC,MEAN,NTMA,,NOW,,,'CURRENCY=USD')</t>
        </is>
      </c>
      <c r="D13" s="12" t="inlineStr">
        <is>
          <t>Verified</t>
        </is>
      </c>
      <c r="E13" s="17">
        <f>_xlfn.IFNA(FDS(E$7,"FE_ESTIMATE(NON_INT_INC,MEAN,NTMA,,NOW,,,'CURRENCY=USD')"),"-")</f>
        <v/>
      </c>
      <c r="F13" s="17">
        <f>_xlfn.IFNA(FDS(F$7,"FE_ESTIMATE(NON_INT_INC,MEAN,NTMA,,NOW,,,'CURRENCY=USD')"),"-")</f>
        <v/>
      </c>
      <c r="G13" s="17">
        <f>_xlfn.IFNA(FDS(G$7,"FE_ESTIMATE(NON_INT_INC,MEAN,NTMA,,NOW,,,'CURRENCY=USD')"),"-")</f>
        <v/>
      </c>
      <c r="H13" s="17">
        <f>_xlfn.IFNA(FDS(H$7,"FE_ESTIMATE(NON_INT_INC,MEAN,NTMA,,NOW,,,'CURRENCY=USD')"),"-")</f>
        <v/>
      </c>
      <c r="I13" s="17">
        <f>_xlfn.IFNA(FDS(I$7,"FE_ESTIMATE(NON_INT_INC,MEAN,NTMA,,NOW,,,'CURRENCY=USD')"),"-")</f>
        <v/>
      </c>
    </row>
    <row r="14">
      <c r="A14" s="6" t="inlineStr"/>
      <c r="B14" s="2" t="inlineStr">
        <is>
          <t>NIM (%)</t>
        </is>
      </c>
      <c r="C14" s="11" t="inlineStr">
        <is>
          <t>FE_ESTIMATE(INT_INC_MARGIN,MEAN,NTMA,,NOW,,,'CURRENCY=USD')</t>
        </is>
      </c>
      <c r="D14" s="12" t="inlineStr">
        <is>
          <t>Verified</t>
        </is>
      </c>
      <c r="E14" s="18">
        <f>_xlfn.IFNA(FDS(E$7,"FE_ESTIMATE(INT_INC_MARGIN,MEAN,NTMA,,NOW,,,'CURRENCY=USD')"),"-")</f>
        <v/>
      </c>
      <c r="F14" s="18">
        <f>_xlfn.IFNA(FDS(F$7,"FE_ESTIMATE(INT_INC_MARGIN,MEAN,NTMA,,NOW,,,'CURRENCY=USD')"),"-")</f>
        <v/>
      </c>
      <c r="G14" s="18">
        <f>_xlfn.IFNA(FDS(G$7,"FE_ESTIMATE(INT_INC_MARGIN,MEAN,NTMA,,NOW,,,'CURRENCY=USD')"),"-")</f>
        <v/>
      </c>
      <c r="H14" s="18">
        <f>_xlfn.IFNA(FDS(H$7,"FE_ESTIMATE(INT_INC_MARGIN,MEAN,NTMA,,NOW,,,'CURRENCY=USD')"),"-")</f>
        <v/>
      </c>
      <c r="I14" s="18">
        <f>_xlfn.IFNA(FDS(I$7,"FE_ESTIMATE(INT_INC_MARGIN,MEAN,NTMA,,NOW,,,'CURRENCY=USD')"),"-")</f>
        <v/>
      </c>
    </row>
    <row r="15">
      <c r="A15" s="6" t="inlineStr"/>
      <c r="B15" s="2" t="inlineStr">
        <is>
          <t>Efficiency ratio (%)</t>
        </is>
      </c>
      <c r="C15" s="11" t="inlineStr">
        <is>
          <t>FE_ESTIMATE(COST_INCOME,MEAN,NTMA,,NOW,,,'CURRENCY=USD')</t>
        </is>
      </c>
      <c r="D15" s="12" t="inlineStr">
        <is>
          <t>Verified</t>
        </is>
      </c>
      <c r="E15" s="18">
        <f>_xlfn.IFNA(FDS(E$7,"FE_ESTIMATE(COST_INCOME,MEAN,NTMA,,NOW,,,'CURRENCY=USD')"),"-")</f>
        <v/>
      </c>
      <c r="F15" s="18">
        <f>_xlfn.IFNA(FDS(F$7,"FE_ESTIMATE(COST_INCOME,MEAN,NTMA,,NOW,,,'CURRENCY=USD')"),"-")</f>
        <v/>
      </c>
      <c r="G15" s="18">
        <f>_xlfn.IFNA(FDS(G$7,"FE_ESTIMATE(COST_INCOME,MEAN,NTMA,,NOW,,,'CURRENCY=USD')"),"-")</f>
        <v/>
      </c>
      <c r="H15" s="18">
        <f>_xlfn.IFNA(FDS(H$7,"FE_ESTIMATE(COST_INCOME,MEAN,NTMA,,NOW,,,'CURRENCY=USD')"),"-")</f>
        <v/>
      </c>
      <c r="I15" s="18">
        <f>_xlfn.IFNA(FDS(I$7,"FE_ESTIMATE(COST_INCOME,MEAN,NTMA,,NOW,,,'CURRENCY=USD')"),"-")</f>
        <v/>
      </c>
    </row>
    <row r="16">
      <c r="A16" s="6" t="inlineStr"/>
      <c r="B16" s="2" t="inlineStr">
        <is>
          <t>Non-interest expense ($M)</t>
        </is>
      </c>
      <c r="C16" s="11" t="inlineStr">
        <is>
          <t>FE_ESTIMATE(OPEREXPEN,MEAN,NTMA,,NOW,,,'CURRENCY=USD')</t>
        </is>
      </c>
      <c r="D16" s="12" t="inlineStr">
        <is>
          <t>Verified</t>
        </is>
      </c>
      <c r="E16" s="17">
        <f>_xlfn.IFNA(FDS(E$7,"FE_ESTIMATE(OPEREXPEN,MEAN,NTMA,,NOW,,,'CURRENCY=USD')"),"-")</f>
        <v/>
      </c>
      <c r="F16" s="17">
        <f>_xlfn.IFNA(FDS(F$7,"FE_ESTIMATE(OPEREXPEN,MEAN,NTMA,,NOW,,,'CURRENCY=USD')"),"-")</f>
        <v/>
      </c>
      <c r="G16" s="17">
        <f>_xlfn.IFNA(FDS(G$7,"FE_ESTIMATE(OPEREXPEN,MEAN,NTMA,,NOW,,,'CURRENCY=USD')"),"-")</f>
        <v/>
      </c>
      <c r="H16" s="17">
        <f>_xlfn.IFNA(FDS(H$7,"FE_ESTIMATE(OPEREXPEN,MEAN,NTMA,,NOW,,,'CURRENCY=USD')"),"-")</f>
        <v/>
      </c>
      <c r="I16" s="17">
        <f>_xlfn.IFNA(FDS(I$7,"FE_ESTIMATE(OPEREXPEN,MEAN,NTMA,,NOW,,,'CURRENCY=USD')"),"-")</f>
        <v/>
      </c>
    </row>
    <row r="17">
      <c r="A17" s="6" t="inlineStr"/>
      <c r="B17" s="2" t="inlineStr">
        <is>
          <t>PPNR ($M)</t>
        </is>
      </c>
      <c r="C17" s="11" t="inlineStr">
        <is>
          <t>FE_ESTIMATE(EBIT_ADJ,MEAN,NTMA,,NOW,,,'CURRENCY=USD')</t>
        </is>
      </c>
      <c r="D17" s="12" t="inlineStr">
        <is>
          <t>Verified</t>
        </is>
      </c>
      <c r="E17" s="17">
        <f>_xlfn.IFNA(FDS(E$7,"FE_ESTIMATE(EBIT_ADJ,MEAN,NTMA,,NOW,,,'CURRENCY=USD')"),"-")</f>
        <v/>
      </c>
      <c r="F17" s="17">
        <f>_xlfn.IFNA(FDS(F$7,"FE_ESTIMATE(EBIT_ADJ,MEAN,NTMA,,NOW,,,'CURRENCY=USD')"),"-")</f>
        <v/>
      </c>
      <c r="G17" s="17">
        <f>_xlfn.IFNA(FDS(G$7,"FE_ESTIMATE(EBIT_ADJ,MEAN,NTMA,,NOW,,,'CURRENCY=USD')"),"-")</f>
        <v/>
      </c>
      <c r="H17" s="17">
        <f>_xlfn.IFNA(FDS(H$7,"FE_ESTIMATE(EBIT_ADJ,MEAN,NTMA,,NOW,,,'CURRENCY=USD')"),"-")</f>
        <v/>
      </c>
      <c r="I17" s="17">
        <f>_xlfn.IFNA(FDS(I$7,"FE_ESTIMATE(EBIT_ADJ,MEAN,NTMA,,NOW,,,'CURRENCY=USD')"),"-")</f>
        <v/>
      </c>
    </row>
    <row r="18">
      <c r="A18" s="6" t="inlineStr"/>
      <c r="B18" s="2" t="inlineStr">
        <is>
          <t>Net income ($M)</t>
        </is>
      </c>
      <c r="C18" s="11" t="inlineStr">
        <is>
          <t>FE_ESTIMATE(NETPROFIT,MEAN,NTMA,,NOW,,,'CURRENCY=USD')</t>
        </is>
      </c>
      <c r="D18" s="12" t="inlineStr">
        <is>
          <t>Verified</t>
        </is>
      </c>
      <c r="E18" s="17">
        <f>_xlfn.IFNA(FDS(E$7,"FE_ESTIMATE(NETPROFIT,MEAN,NTMA,,NOW,,,'CURRENCY=USD')"),"-")</f>
        <v/>
      </c>
      <c r="F18" s="17">
        <f>_xlfn.IFNA(FDS(F$7,"FE_ESTIMATE(NETPROFIT,MEAN,NTMA,,NOW,,,'CURRENCY=USD')"),"-")</f>
        <v/>
      </c>
      <c r="G18" s="17">
        <f>_xlfn.IFNA(FDS(G$7,"FE_ESTIMATE(NETPROFIT,MEAN,NTMA,,NOW,,,'CURRENCY=USD')"),"-")</f>
        <v/>
      </c>
      <c r="H18" s="17">
        <f>_xlfn.IFNA(FDS(H$7,"FE_ESTIMATE(NETPROFIT,MEAN,NTMA,,NOW,,,'CURRENCY=USD')"),"-")</f>
        <v/>
      </c>
      <c r="I18" s="17">
        <f>_xlfn.IFNA(FDS(I$7,"FE_ESTIMATE(NETPROFIT,MEAN,NTMA,,NOW,,,'CURRENCY=USD')"),"-")</f>
        <v/>
      </c>
    </row>
    <row r="19">
      <c r="A19" s="6" t="inlineStr"/>
      <c r="B19" s="2" t="inlineStr">
        <is>
          <t>ROTCE (%)</t>
        </is>
      </c>
      <c r="C19" s="11" t="inlineStr">
        <is>
          <t>FE_ESTIMATE(ROTE,MEAN,NTMA,,NOW,,,'CURRENCY=USD')</t>
        </is>
      </c>
      <c r="D19" s="12" t="inlineStr">
        <is>
          <t>Verified</t>
        </is>
      </c>
      <c r="E19" s="18">
        <f>_xlfn.IFNA(FDS(E$7,"FE_ESTIMATE(ROTE,MEAN,NTMA,,NOW,,,'CURRENCY=USD')"),"-")</f>
        <v/>
      </c>
      <c r="F19" s="18">
        <f>_xlfn.IFNA(FDS(F$7,"FE_ESTIMATE(ROTE,MEAN,NTMA,,NOW,,,'CURRENCY=USD')"),"-")</f>
        <v/>
      </c>
      <c r="G19" s="18">
        <f>_xlfn.IFNA(FDS(G$7,"FE_ESTIMATE(ROTE,MEAN,NTMA,,NOW,,,'CURRENCY=USD')"),"-")</f>
        <v/>
      </c>
      <c r="H19" s="18">
        <f>_xlfn.IFNA(FDS(H$7,"FE_ESTIMATE(ROTE,MEAN,NTMA,,NOW,,,'CURRENCY=USD')"),"-")</f>
        <v/>
      </c>
      <c r="I19" s="18">
        <f>_xlfn.IFNA(FDS(I$7,"FE_ESTIMATE(ROTE,MEAN,NTMA,,NOW,,,'CURRENCY=USD')"),"-")</f>
        <v/>
      </c>
    </row>
    <row r="20">
      <c r="A20" s="6" t="inlineStr"/>
      <c r="B20" s="2" t="inlineStr">
        <is>
          <t>CET1 ratio (%)</t>
        </is>
      </c>
      <c r="C20" s="11" t="inlineStr">
        <is>
          <t>FE_ESTIMATE(COMCAP_RATIO_TIER1,MEAN,NTMA,,NOW,,,'CURRENCY=USD')</t>
        </is>
      </c>
      <c r="D20" s="12" t="inlineStr">
        <is>
          <t>Verified</t>
        </is>
      </c>
      <c r="E20" s="18">
        <f>_xlfn.IFNA(FDS(E$7,"FE_ESTIMATE(COMCAP_RATIO_TIER1,MEAN,NTMA,,NOW,,,'CURRENCY=USD')"),"-")</f>
        <v/>
      </c>
      <c r="F20" s="18">
        <f>_xlfn.IFNA(FDS(F$7,"FE_ESTIMATE(COMCAP_RATIO_TIER1,MEAN,NTMA,,NOW,,,'CURRENCY=USD')"),"-")</f>
        <v/>
      </c>
      <c r="G20" s="18">
        <f>_xlfn.IFNA(FDS(G$7,"FE_ESTIMATE(COMCAP_RATIO_TIER1,MEAN,NTMA,,NOW,,,'CURRENCY=USD')"),"-")</f>
        <v/>
      </c>
      <c r="H20" s="18">
        <f>_xlfn.IFNA(FDS(H$7,"FE_ESTIMATE(COMCAP_RATIO_TIER1,MEAN,NTMA,,NOW,,,'CURRENCY=USD')"),"-")</f>
        <v/>
      </c>
      <c r="I20" s="18">
        <f>_xlfn.IFNA(FDS(I$7,"FE_ESTIMATE(COMCAP_RATIO_TIER1,MEAN,NTMA,,NOW,,,'CURRENCY=USD')"),"-")</f>
        <v/>
      </c>
    </row>
    <row r="21">
      <c r="A21" s="6" t="inlineStr"/>
      <c r="B21" s="2" t="inlineStr">
        <is>
          <t>Gross loans ($M)</t>
        </is>
      </c>
      <c r="C21" s="11" t="inlineStr">
        <is>
          <t>FE_ESTIMATE(LOAN_GROSS,MEAN,NTMA,,NOW,,,'CURRENCY=USD')</t>
        </is>
      </c>
      <c r="D21" s="12" t="inlineStr">
        <is>
          <t>Verified</t>
        </is>
      </c>
      <c r="E21" s="17">
        <f>_xlfn.IFNA(FDS(E$7,"FE_ESTIMATE(LOAN_GROSS,MEAN,NTMA,,NOW,,,'CURRENCY=USD')"),"-")</f>
        <v/>
      </c>
      <c r="F21" s="17">
        <f>_xlfn.IFNA(FDS(F$7,"FE_ESTIMATE(LOAN_GROSS,MEAN,NTMA,,NOW,,,'CURRENCY=USD')"),"-")</f>
        <v/>
      </c>
      <c r="G21" s="17">
        <f>_xlfn.IFNA(FDS(G$7,"FE_ESTIMATE(LOAN_GROSS,MEAN,NTMA,,NOW,,,'CURRENCY=USD')"),"-")</f>
        <v/>
      </c>
      <c r="H21" s="17">
        <f>_xlfn.IFNA(FDS(H$7,"FE_ESTIMATE(LOAN_GROSS,MEAN,NTMA,,NOW,,,'CURRENCY=USD')"),"-")</f>
        <v/>
      </c>
      <c r="I21" s="17">
        <f>_xlfn.IFNA(FDS(I$7,"FE_ESTIMATE(LOAN_GROSS,MEAN,NTMA,,NOW,,,'CURRENCY=USD')"),"-")</f>
        <v/>
      </c>
    </row>
    <row r="22">
      <c r="A22" s="6" t="inlineStr"/>
      <c r="B22" s="2" t="inlineStr">
        <is>
          <t>Deposits ($M)</t>
        </is>
      </c>
      <c r="C22" s="11" t="inlineStr">
        <is>
          <t>FE_ESTIMATE(DEPS,MEAN,NTMA,,NOW,,,'CURRENCY=USD')</t>
        </is>
      </c>
      <c r="D22" s="12" t="inlineStr">
        <is>
          <t>Verified</t>
        </is>
      </c>
      <c r="E22" s="17">
        <f>_xlfn.IFNA(FDS(E$7,"FE_ESTIMATE(DEPS,MEAN,NTMA,,NOW,,,'CURRENCY=USD')"),"-")</f>
        <v/>
      </c>
      <c r="F22" s="17">
        <f>_xlfn.IFNA(FDS(F$7,"FE_ESTIMATE(DEPS,MEAN,NTMA,,NOW,,,'CURRENCY=USD')"),"-")</f>
        <v/>
      </c>
      <c r="G22" s="17">
        <f>_xlfn.IFNA(FDS(G$7,"FE_ESTIMATE(DEPS,MEAN,NTMA,,NOW,,,'CURRENCY=USD')"),"-")</f>
        <v/>
      </c>
      <c r="H22" s="17">
        <f>_xlfn.IFNA(FDS(H$7,"FE_ESTIMATE(DEPS,MEAN,NTMA,,NOW,,,'CURRENCY=USD')"),"-")</f>
        <v/>
      </c>
      <c r="I22" s="17">
        <f>_xlfn.IFNA(FDS(I$7,"FE_ESTIMATE(DEPS,MEAN,NTMA,,NOW,,,'CURRENCY=USD')"),"-")</f>
        <v/>
      </c>
    </row>
    <row r="23">
      <c r="A23" s="6" t="inlineStr"/>
      <c r="B23" s="2" t="inlineStr">
        <is>
          <t>Net charge-offs ($M)</t>
        </is>
      </c>
      <c r="C23" s="11" t="inlineStr">
        <is>
          <t>FE_ESTIMATE(NET_CHARGE_OFFS,MEAN,NTMA,,NOW,,,'CURRENCY=USD')</t>
        </is>
      </c>
      <c r="D23" s="12" t="inlineStr">
        <is>
          <t>Verified</t>
        </is>
      </c>
      <c r="E23" s="17">
        <f>_xlfn.IFNA(FDS(E$7,"FE_ESTIMATE(NET_CHARGE_OFFS,MEAN,NTMA,,NOW,,,'CURRENCY=USD')"),"-")</f>
        <v/>
      </c>
      <c r="F23" s="17">
        <f>_xlfn.IFNA(FDS(F$7,"FE_ESTIMATE(NET_CHARGE_OFFS,MEAN,NTMA,,NOW,,,'CURRENCY=USD')"),"-")</f>
        <v/>
      </c>
      <c r="G23" s="17">
        <f>_xlfn.IFNA(FDS(G$7,"FE_ESTIMATE(NET_CHARGE_OFFS,MEAN,NTMA,,NOW,,,'CURRENCY=USD')"),"-")</f>
        <v/>
      </c>
      <c r="H23" s="17">
        <f>_xlfn.IFNA(FDS(H$7,"FE_ESTIMATE(NET_CHARGE_OFFS,MEAN,NTMA,,NOW,,,'CURRENCY=USD')"),"-")</f>
        <v/>
      </c>
      <c r="I23" s="17">
        <f>_xlfn.IFNA(FDS(I$7,"FE_ESTIMATE(NET_CHARGE_OFFS,MEAN,NTMA,,NOW,,,'CURRENCY=USD')"),"-")</f>
        <v/>
      </c>
    </row>
    <row r="24">
      <c r="A24" s="6" t="inlineStr"/>
      <c r="B24" s="2" t="inlineStr">
        <is>
          <t>NCO / loans (%, annualized)</t>
        </is>
      </c>
      <c r="C24" s="11" t="inlineStr">
        <is>
          <t>FE_ESTIMATE(NETCHARGE_LOANNET,MEAN,NTMA,,NOW,,,'CURRENCY=USD')</t>
        </is>
      </c>
      <c r="D24" s="12" t="inlineStr">
        <is>
          <t>Verified</t>
        </is>
      </c>
      <c r="E24" s="18">
        <f>_xlfn.IFNA(FDS(E$7,"FE_ESTIMATE(NETCHARGE_LOANNET,MEAN,NTMA,,NOW,,,'CURRENCY=USD')"),"-")</f>
        <v/>
      </c>
      <c r="F24" s="18">
        <f>_xlfn.IFNA(FDS(F$7,"FE_ESTIMATE(NETCHARGE_LOANNET,MEAN,NTMA,,NOW,,,'CURRENCY=USD')"),"-")</f>
        <v/>
      </c>
      <c r="G24" s="18">
        <f>_xlfn.IFNA(FDS(G$7,"FE_ESTIMATE(NETCHARGE_LOANNET,MEAN,NTMA,,NOW,,,'CURRENCY=USD')"),"-")</f>
        <v/>
      </c>
      <c r="H24" s="18">
        <f>_xlfn.IFNA(FDS(H$7,"FE_ESTIMATE(NETCHARGE_LOANNET,MEAN,NTMA,,NOW,,,'CURRENCY=USD')"),"-")</f>
        <v/>
      </c>
      <c r="I24" s="18">
        <f>_xlfn.IFNA(FDS(I$7,"FE_ESTIMATE(NETCHARGE_LOANNET,MEAN,NTMA,,NOW,,,'CURRENCY=USD')"),"-")</f>
        <v/>
      </c>
    </row>
    <row r="25">
      <c r="A25" s="6" t="inlineStr"/>
      <c r="B25" s="2" t="inlineStr">
        <is>
          <t>Loan-loss provision ($M)</t>
        </is>
      </c>
      <c r="C25" s="11" t="inlineStr">
        <is>
          <t>FE_ESTIMATE(LOAN_PROV,MEAN,NTMA,,NOW,,,'CURRENCY=USD')</t>
        </is>
      </c>
      <c r="D25" s="12" t="inlineStr">
        <is>
          <t>Verified</t>
        </is>
      </c>
      <c r="E25" s="17">
        <f>_xlfn.IFNA(FDS(E$7,"FE_ESTIMATE(LOAN_PROV,MEAN,NTMA,,NOW,,,'CURRENCY=USD')"),"-")</f>
        <v/>
      </c>
      <c r="F25" s="17">
        <f>_xlfn.IFNA(FDS(F$7,"FE_ESTIMATE(LOAN_PROV,MEAN,NTMA,,NOW,,,'CURRENCY=USD')"),"-")</f>
        <v/>
      </c>
      <c r="G25" s="17">
        <f>_xlfn.IFNA(FDS(G$7,"FE_ESTIMATE(LOAN_PROV,MEAN,NTMA,,NOW,,,'CURRENCY=USD')"),"-")</f>
        <v/>
      </c>
      <c r="H25" s="17">
        <f>_xlfn.IFNA(FDS(H$7,"FE_ESTIMATE(LOAN_PROV,MEAN,NTMA,,NOW,,,'CURRENCY=USD')"),"-")</f>
        <v/>
      </c>
      <c r="I25" s="17">
        <f>_xlfn.IFNA(FDS(I$7,"FE_ESTIMATE(LOAN_PROV,MEAN,NTMA,,NOW,,,'CURRENCY=USD')"),"-")</f>
        <v/>
      </c>
    </row>
    <row r="26">
      <c r="A26" s="6" t="inlineStr"/>
      <c r="B26" s="2" t="inlineStr">
        <is>
          <t>DPS ($)</t>
        </is>
      </c>
      <c r="C26" s="11" t="inlineStr">
        <is>
          <t>FE_ESTIMATE(NETDIV,MEAN,NTMA,,NOW,,,'CURRENCY=USD')</t>
        </is>
      </c>
      <c r="D26" s="12" t="inlineStr">
        <is>
          <t>Verified</t>
        </is>
      </c>
      <c r="E26" s="19">
        <f>_xlfn.IFNA(FDS(E$7,"FE_ESTIMATE(NETDIV,MEAN,NTMA,,NOW,,,'CURRENCY=USD')"),"-")</f>
        <v/>
      </c>
      <c r="F26" s="19">
        <f>_xlfn.IFNA(FDS(F$7,"FE_ESTIMATE(NETDIV,MEAN,NTMA,,NOW,,,'CURRENCY=USD')"),"-")</f>
        <v/>
      </c>
      <c r="G26" s="19">
        <f>_xlfn.IFNA(FDS(G$7,"FE_ESTIMATE(NETDIV,MEAN,NTMA,,NOW,,,'CURRENCY=USD')"),"-")</f>
        <v/>
      </c>
      <c r="H26" s="19">
        <f>_xlfn.IFNA(FDS(H$7,"FE_ESTIMATE(NETDIV,MEAN,NTMA,,NOW,,,'CURRENCY=USD')"),"-")</f>
        <v/>
      </c>
      <c r="I26" s="19">
        <f>_xlfn.IFNA(FDS(I$7,"FE_ESTIMATE(NETDIV,MEAN,NTMA,,NOW,,,'CURRENCY=USD')"),"-")</f>
        <v/>
      </c>
    </row>
    <row r="27">
      <c r="A27" s="6" t="inlineStr"/>
      <c r="B27" s="2" t="inlineStr">
        <is>
          <t>TBVPS ($)</t>
        </is>
      </c>
      <c r="C27" s="11" t="inlineStr">
        <is>
          <t>FE_ESTIMATE(BPS_TANG,MEAN,NTMA,,NOW,,,'CURRENCY=USD')</t>
        </is>
      </c>
      <c r="D27" s="12" t="inlineStr">
        <is>
          <t>Verified</t>
        </is>
      </c>
      <c r="E27" s="19">
        <f>_xlfn.IFNA(FDS(E$7,"FE_ESTIMATE(BPS_TANG,MEAN,NTMA,,NOW,,,'CURRENCY=USD')"),"-")</f>
        <v/>
      </c>
      <c r="F27" s="19">
        <f>_xlfn.IFNA(FDS(F$7,"FE_ESTIMATE(BPS_TANG,MEAN,NTMA,,NOW,,,'CURRENCY=USD')"),"-")</f>
        <v/>
      </c>
      <c r="G27" s="19">
        <f>_xlfn.IFNA(FDS(G$7,"FE_ESTIMATE(BPS_TANG,MEAN,NTMA,,NOW,,,'CURRENCY=USD')"),"-")</f>
        <v/>
      </c>
      <c r="H27" s="19">
        <f>_xlfn.IFNA(FDS(H$7,"FE_ESTIMATE(BPS_TANG,MEAN,NTMA,,NOW,,,'CURRENCY=USD')"),"-")</f>
        <v/>
      </c>
      <c r="I27" s="19">
        <f>_xlfn.IFNA(FDS(I$7,"FE_ESTIMATE(BPS_TANG,MEAN,NTMA,,NOW,,,'CURRENCY=USD')"),"-")</f>
        <v/>
      </c>
    </row>
    <row r="28">
      <c r="A28" s="14" t="inlineStr">
        <is>
          <t>Fiscal year 1 (C3)</t>
        </is>
      </c>
      <c r="B28" s="14" t="n"/>
      <c r="C28" s="14" t="n"/>
      <c r="D28" s="14" t="n"/>
      <c r="E28" s="14" t="n"/>
      <c r="F28" s="14" t="n"/>
      <c r="G28" s="14" t="n"/>
      <c r="H28" s="14" t="n"/>
      <c r="I28" s="14" t="n"/>
    </row>
    <row r="29">
      <c r="A29" s="6" t="inlineStr"/>
      <c r="B29" s="2" t="inlineStr">
        <is>
          <t>EPS ($)</t>
        </is>
      </c>
      <c r="C29" s="11" t="inlineStr">
        <is>
          <t>FE_ESTIMATE(EPS,MEAN,ANN_ROLL,{f1},NOW,,,'CURRENCY=USD')</t>
        </is>
      </c>
      <c r="D29" s="12" t="inlineStr">
        <is>
          <t>Verified</t>
        </is>
      </c>
      <c r="E29" s="19">
        <f>_xlfn.IFNA(FDS(E$7,"FE_ESTIMATE(EPS,MEAN,ANN_ROLL,"&amp;$C$3&amp;",NOW,,,'CURRENCY=USD')"),"-")</f>
        <v/>
      </c>
      <c r="F29" s="19">
        <f>_xlfn.IFNA(FDS(F$7,"FE_ESTIMATE(EPS,MEAN,ANN_ROLL,"&amp;$C$3&amp;",NOW,,,'CURRENCY=USD')"),"-")</f>
        <v/>
      </c>
      <c r="G29" s="19">
        <f>_xlfn.IFNA(FDS(G$7,"FE_ESTIMATE(EPS,MEAN,ANN_ROLL,"&amp;$C$3&amp;",NOW,,,'CURRENCY=USD')"),"-")</f>
        <v/>
      </c>
      <c r="H29" s="19">
        <f>_xlfn.IFNA(FDS(H$7,"FE_ESTIMATE(EPS,MEAN,ANN_ROLL,"&amp;$C$3&amp;",NOW,,,'CURRENCY=USD')"),"-")</f>
        <v/>
      </c>
      <c r="I29" s="19">
        <f>_xlfn.IFNA(FDS(I$7,"FE_ESTIMATE(EPS,MEAN,ANN_ROLL,"&amp;$C$3&amp;",NOW,,,'CURRENCY=USD')"),"-")</f>
        <v/>
      </c>
    </row>
    <row r="30">
      <c r="A30" s="6" t="inlineStr"/>
      <c r="B30" s="2" t="inlineStr">
        <is>
          <t>Revenue ($M)</t>
        </is>
      </c>
      <c r="C30" s="11" t="inlineStr">
        <is>
          <t>FE_ESTIMATE(SALES,MEAN,ANN_ROLL,{f1},NOW,,,'CURRENCY=USD')</t>
        </is>
      </c>
      <c r="D30" s="12" t="inlineStr">
        <is>
          <t>Verified</t>
        </is>
      </c>
      <c r="E30" s="17">
        <f>_xlfn.IFNA(FDS(E$7,"FE_ESTIMATE(SALES,MEAN,ANN_ROLL,"&amp;$C$3&amp;",NOW,,,'CURRENCY=USD')"),"-")</f>
        <v/>
      </c>
      <c r="F30" s="17">
        <f>_xlfn.IFNA(FDS(F$7,"FE_ESTIMATE(SALES,MEAN,ANN_ROLL,"&amp;$C$3&amp;",NOW,,,'CURRENCY=USD')"),"-")</f>
        <v/>
      </c>
      <c r="G30" s="17">
        <f>_xlfn.IFNA(FDS(G$7,"FE_ESTIMATE(SALES,MEAN,ANN_ROLL,"&amp;$C$3&amp;",NOW,,,'CURRENCY=USD')"),"-")</f>
        <v/>
      </c>
      <c r="H30" s="17">
        <f>_xlfn.IFNA(FDS(H$7,"FE_ESTIMATE(SALES,MEAN,ANN_ROLL,"&amp;$C$3&amp;",NOW,,,'CURRENCY=USD')"),"-")</f>
        <v/>
      </c>
      <c r="I30" s="17">
        <f>_xlfn.IFNA(FDS(I$7,"FE_ESTIMATE(SALES,MEAN,ANN_ROLL,"&amp;$C$3&amp;",NOW,,,'CURRENCY=USD')"),"-")</f>
        <v/>
      </c>
    </row>
    <row r="31">
      <c r="A31" s="6" t="inlineStr"/>
      <c r="B31" s="2" t="inlineStr">
        <is>
          <t>Net interest income ($M)</t>
        </is>
      </c>
      <c r="C31" s="11" t="inlineStr">
        <is>
          <t>FE_ESTIMATE(NETINTERESTINC,MEAN,ANN_ROLL,{f1},NOW,,,'CURRENCY=USD')</t>
        </is>
      </c>
      <c r="D31" s="12" t="inlineStr">
        <is>
          <t>Verified</t>
        </is>
      </c>
      <c r="E31" s="17">
        <f>_xlfn.IFNA(FDS(E$7,"FE_ESTIMATE(NETINTERESTINC,MEAN,ANN_ROLL,"&amp;$C$3&amp;",NOW,,,'CURRENCY=USD')"),"-")</f>
        <v/>
      </c>
      <c r="F31" s="17">
        <f>_xlfn.IFNA(FDS(F$7,"FE_ESTIMATE(NETINTERESTINC,MEAN,ANN_ROLL,"&amp;$C$3&amp;",NOW,,,'CURRENCY=USD')"),"-")</f>
        <v/>
      </c>
      <c r="G31" s="17">
        <f>_xlfn.IFNA(FDS(G$7,"FE_ESTIMATE(NETINTERESTINC,MEAN,ANN_ROLL,"&amp;$C$3&amp;",NOW,,,'CURRENCY=USD')"),"-")</f>
        <v/>
      </c>
      <c r="H31" s="17">
        <f>_xlfn.IFNA(FDS(H$7,"FE_ESTIMATE(NETINTERESTINC,MEAN,ANN_ROLL,"&amp;$C$3&amp;",NOW,,,'CURRENCY=USD')"),"-")</f>
        <v/>
      </c>
      <c r="I31" s="17">
        <f>_xlfn.IFNA(FDS(I$7,"FE_ESTIMATE(NETINTERESTINC,MEAN,ANN_ROLL,"&amp;$C$3&amp;",NOW,,,'CURRENCY=USD')"),"-")</f>
        <v/>
      </c>
    </row>
    <row r="32">
      <c r="A32" s="6" t="inlineStr"/>
      <c r="B32" s="2" t="inlineStr">
        <is>
          <t>Non-interest income ($M)</t>
        </is>
      </c>
      <c r="C32" s="11" t="inlineStr">
        <is>
          <t>FE_ESTIMATE(NON_INT_INC,MEAN,ANN_ROLL,{f1},NOW,,,'CURRENCY=USD')</t>
        </is>
      </c>
      <c r="D32" s="12" t="inlineStr">
        <is>
          <t>Verified</t>
        </is>
      </c>
      <c r="E32" s="17">
        <f>_xlfn.IFNA(FDS(E$7,"FE_ESTIMATE(NON_INT_INC,MEAN,ANN_ROLL,"&amp;$C$3&amp;",NOW,,,'CURRENCY=USD')"),"-")</f>
        <v/>
      </c>
      <c r="F32" s="17">
        <f>_xlfn.IFNA(FDS(F$7,"FE_ESTIMATE(NON_INT_INC,MEAN,ANN_ROLL,"&amp;$C$3&amp;",NOW,,,'CURRENCY=USD')"),"-")</f>
        <v/>
      </c>
      <c r="G32" s="17">
        <f>_xlfn.IFNA(FDS(G$7,"FE_ESTIMATE(NON_INT_INC,MEAN,ANN_ROLL,"&amp;$C$3&amp;",NOW,,,'CURRENCY=USD')"),"-")</f>
        <v/>
      </c>
      <c r="H32" s="17">
        <f>_xlfn.IFNA(FDS(H$7,"FE_ESTIMATE(NON_INT_INC,MEAN,ANN_ROLL,"&amp;$C$3&amp;",NOW,,,'CURRENCY=USD')"),"-")</f>
        <v/>
      </c>
      <c r="I32" s="17">
        <f>_xlfn.IFNA(FDS(I$7,"FE_ESTIMATE(NON_INT_INC,MEAN,ANN_ROLL,"&amp;$C$3&amp;",NOW,,,'CURRENCY=USD')"),"-")</f>
        <v/>
      </c>
    </row>
    <row r="33">
      <c r="A33" s="6" t="inlineStr"/>
      <c r="B33" s="2" t="inlineStr">
        <is>
          <t>NIM (%)</t>
        </is>
      </c>
      <c r="C33" s="11" t="inlineStr">
        <is>
          <t>FE_ESTIMATE(INT_INC_MARGIN,MEAN,ANN_ROLL,{f1},NOW,,,'CURRENCY=USD')</t>
        </is>
      </c>
      <c r="D33" s="12" t="inlineStr">
        <is>
          <t>Verified</t>
        </is>
      </c>
      <c r="E33" s="18">
        <f>_xlfn.IFNA(FDS(E$7,"FE_ESTIMATE(INT_INC_MARGIN,MEAN,ANN_ROLL,"&amp;$C$3&amp;",NOW,,,'CURRENCY=USD')"),"-")</f>
        <v/>
      </c>
      <c r="F33" s="18">
        <f>_xlfn.IFNA(FDS(F$7,"FE_ESTIMATE(INT_INC_MARGIN,MEAN,ANN_ROLL,"&amp;$C$3&amp;",NOW,,,'CURRENCY=USD')"),"-")</f>
        <v/>
      </c>
      <c r="G33" s="18">
        <f>_xlfn.IFNA(FDS(G$7,"FE_ESTIMATE(INT_INC_MARGIN,MEAN,ANN_ROLL,"&amp;$C$3&amp;",NOW,,,'CURRENCY=USD')"),"-")</f>
        <v/>
      </c>
      <c r="H33" s="18">
        <f>_xlfn.IFNA(FDS(H$7,"FE_ESTIMATE(INT_INC_MARGIN,MEAN,ANN_ROLL,"&amp;$C$3&amp;",NOW,,,'CURRENCY=USD')"),"-")</f>
        <v/>
      </c>
      <c r="I33" s="18">
        <f>_xlfn.IFNA(FDS(I$7,"FE_ESTIMATE(INT_INC_MARGIN,MEAN,ANN_ROLL,"&amp;$C$3&amp;",NOW,,,'CURRENCY=USD')"),"-")</f>
        <v/>
      </c>
    </row>
    <row r="34">
      <c r="A34" s="6" t="inlineStr"/>
      <c r="B34" s="2" t="inlineStr">
        <is>
          <t>Efficiency ratio (%)</t>
        </is>
      </c>
      <c r="C34" s="11" t="inlineStr">
        <is>
          <t>FE_ESTIMATE(COST_INCOME,MEAN,ANN_ROLL,{f1},NOW,,,'CURRENCY=USD')</t>
        </is>
      </c>
      <c r="D34" s="12" t="inlineStr">
        <is>
          <t>Verified</t>
        </is>
      </c>
      <c r="E34" s="18">
        <f>_xlfn.IFNA(FDS(E$7,"FE_ESTIMATE(COST_INCOME,MEAN,ANN_ROLL,"&amp;$C$3&amp;",NOW,,,'CURRENCY=USD')"),"-")</f>
        <v/>
      </c>
      <c r="F34" s="18">
        <f>_xlfn.IFNA(FDS(F$7,"FE_ESTIMATE(COST_INCOME,MEAN,ANN_ROLL,"&amp;$C$3&amp;",NOW,,,'CURRENCY=USD')"),"-")</f>
        <v/>
      </c>
      <c r="G34" s="18">
        <f>_xlfn.IFNA(FDS(G$7,"FE_ESTIMATE(COST_INCOME,MEAN,ANN_ROLL,"&amp;$C$3&amp;",NOW,,,'CURRENCY=USD')"),"-")</f>
        <v/>
      </c>
      <c r="H34" s="18">
        <f>_xlfn.IFNA(FDS(H$7,"FE_ESTIMATE(COST_INCOME,MEAN,ANN_ROLL,"&amp;$C$3&amp;",NOW,,,'CURRENCY=USD')"),"-")</f>
        <v/>
      </c>
      <c r="I34" s="18">
        <f>_xlfn.IFNA(FDS(I$7,"FE_ESTIMATE(COST_INCOME,MEAN,ANN_ROLL,"&amp;$C$3&amp;",NOW,,,'CURRENCY=USD')"),"-")</f>
        <v/>
      </c>
    </row>
    <row r="35">
      <c r="A35" s="6" t="inlineStr"/>
      <c r="B35" s="2" t="inlineStr">
        <is>
          <t>Non-interest expense ($M)</t>
        </is>
      </c>
      <c r="C35" s="11" t="inlineStr">
        <is>
          <t>FE_ESTIMATE(OPEREXPEN,MEAN,ANN_ROLL,{f1},NOW,,,'CURRENCY=USD')</t>
        </is>
      </c>
      <c r="D35" s="12" t="inlineStr">
        <is>
          <t>Verified</t>
        </is>
      </c>
      <c r="E35" s="17">
        <f>_xlfn.IFNA(FDS(E$7,"FE_ESTIMATE(OPEREXPEN,MEAN,ANN_ROLL,"&amp;$C$3&amp;",NOW,,,'CURRENCY=USD')"),"-")</f>
        <v/>
      </c>
      <c r="F35" s="17">
        <f>_xlfn.IFNA(FDS(F$7,"FE_ESTIMATE(OPEREXPEN,MEAN,ANN_ROLL,"&amp;$C$3&amp;",NOW,,,'CURRENCY=USD')"),"-")</f>
        <v/>
      </c>
      <c r="G35" s="17">
        <f>_xlfn.IFNA(FDS(G$7,"FE_ESTIMATE(OPEREXPEN,MEAN,ANN_ROLL,"&amp;$C$3&amp;",NOW,,,'CURRENCY=USD')"),"-")</f>
        <v/>
      </c>
      <c r="H35" s="17">
        <f>_xlfn.IFNA(FDS(H$7,"FE_ESTIMATE(OPEREXPEN,MEAN,ANN_ROLL,"&amp;$C$3&amp;",NOW,,,'CURRENCY=USD')"),"-")</f>
        <v/>
      </c>
      <c r="I35" s="17">
        <f>_xlfn.IFNA(FDS(I$7,"FE_ESTIMATE(OPEREXPEN,MEAN,ANN_ROLL,"&amp;$C$3&amp;",NOW,,,'CURRENCY=USD')"),"-")</f>
        <v/>
      </c>
    </row>
    <row r="36">
      <c r="A36" s="6" t="inlineStr"/>
      <c r="B36" s="2" t="inlineStr">
        <is>
          <t>PPNR ($M)</t>
        </is>
      </c>
      <c r="C36" s="11" t="inlineStr">
        <is>
          <t>FE_ESTIMATE(EBIT_ADJ,MEAN,ANN_ROLL,{f1},NOW,,,'CURRENCY=USD')</t>
        </is>
      </c>
      <c r="D36" s="12" t="inlineStr">
        <is>
          <t>Verified</t>
        </is>
      </c>
      <c r="E36" s="17">
        <f>_xlfn.IFNA(FDS(E$7,"FE_ESTIMATE(EBIT_ADJ,MEAN,ANN_ROLL,"&amp;$C$3&amp;",NOW,,,'CURRENCY=USD')"),"-")</f>
        <v/>
      </c>
      <c r="F36" s="17">
        <f>_xlfn.IFNA(FDS(F$7,"FE_ESTIMATE(EBIT_ADJ,MEAN,ANN_ROLL,"&amp;$C$3&amp;",NOW,,,'CURRENCY=USD')"),"-")</f>
        <v/>
      </c>
      <c r="G36" s="17">
        <f>_xlfn.IFNA(FDS(G$7,"FE_ESTIMATE(EBIT_ADJ,MEAN,ANN_ROLL,"&amp;$C$3&amp;",NOW,,,'CURRENCY=USD')"),"-")</f>
        <v/>
      </c>
      <c r="H36" s="17">
        <f>_xlfn.IFNA(FDS(H$7,"FE_ESTIMATE(EBIT_ADJ,MEAN,ANN_ROLL,"&amp;$C$3&amp;",NOW,,,'CURRENCY=USD')"),"-")</f>
        <v/>
      </c>
      <c r="I36" s="17">
        <f>_xlfn.IFNA(FDS(I$7,"FE_ESTIMATE(EBIT_ADJ,MEAN,ANN_ROLL,"&amp;$C$3&amp;",NOW,,,'CURRENCY=USD')"),"-")</f>
        <v/>
      </c>
    </row>
    <row r="37">
      <c r="A37" s="6" t="inlineStr"/>
      <c r="B37" s="2" t="inlineStr">
        <is>
          <t>Net income ($M)</t>
        </is>
      </c>
      <c r="C37" s="11" t="inlineStr">
        <is>
          <t>FE_ESTIMATE(NETPROFIT,MEAN,ANN_ROLL,{f1},NOW,,,'CURRENCY=USD')</t>
        </is>
      </c>
      <c r="D37" s="12" t="inlineStr">
        <is>
          <t>Verified</t>
        </is>
      </c>
      <c r="E37" s="17">
        <f>_xlfn.IFNA(FDS(E$7,"FE_ESTIMATE(NETPROFIT,MEAN,ANN_ROLL,"&amp;$C$3&amp;",NOW,,,'CURRENCY=USD')"),"-")</f>
        <v/>
      </c>
      <c r="F37" s="17">
        <f>_xlfn.IFNA(FDS(F$7,"FE_ESTIMATE(NETPROFIT,MEAN,ANN_ROLL,"&amp;$C$3&amp;",NOW,,,'CURRENCY=USD')"),"-")</f>
        <v/>
      </c>
      <c r="G37" s="17">
        <f>_xlfn.IFNA(FDS(G$7,"FE_ESTIMATE(NETPROFIT,MEAN,ANN_ROLL,"&amp;$C$3&amp;",NOW,,,'CURRENCY=USD')"),"-")</f>
        <v/>
      </c>
      <c r="H37" s="17">
        <f>_xlfn.IFNA(FDS(H$7,"FE_ESTIMATE(NETPROFIT,MEAN,ANN_ROLL,"&amp;$C$3&amp;",NOW,,,'CURRENCY=USD')"),"-")</f>
        <v/>
      </c>
      <c r="I37" s="17">
        <f>_xlfn.IFNA(FDS(I$7,"FE_ESTIMATE(NETPROFIT,MEAN,ANN_ROLL,"&amp;$C$3&amp;",NOW,,,'CURRENCY=USD')"),"-")</f>
        <v/>
      </c>
    </row>
    <row r="38">
      <c r="A38" s="6" t="inlineStr"/>
      <c r="B38" s="2" t="inlineStr">
        <is>
          <t>ROTCE (%)</t>
        </is>
      </c>
      <c r="C38" s="11" t="inlineStr">
        <is>
          <t>FE_ESTIMATE(ROTE,MEAN,ANN_ROLL,{f1},NOW,,,'CURRENCY=USD')</t>
        </is>
      </c>
      <c r="D38" s="12" t="inlineStr">
        <is>
          <t>Verified</t>
        </is>
      </c>
      <c r="E38" s="18">
        <f>_xlfn.IFNA(FDS(E$7,"FE_ESTIMATE(ROTE,MEAN,ANN_ROLL,"&amp;$C$3&amp;",NOW,,,'CURRENCY=USD')"),"-")</f>
        <v/>
      </c>
      <c r="F38" s="18">
        <f>_xlfn.IFNA(FDS(F$7,"FE_ESTIMATE(ROTE,MEAN,ANN_ROLL,"&amp;$C$3&amp;",NOW,,,'CURRENCY=USD')"),"-")</f>
        <v/>
      </c>
      <c r="G38" s="18">
        <f>_xlfn.IFNA(FDS(G$7,"FE_ESTIMATE(ROTE,MEAN,ANN_ROLL,"&amp;$C$3&amp;",NOW,,,'CURRENCY=USD')"),"-")</f>
        <v/>
      </c>
      <c r="H38" s="18">
        <f>_xlfn.IFNA(FDS(H$7,"FE_ESTIMATE(ROTE,MEAN,ANN_ROLL,"&amp;$C$3&amp;",NOW,,,'CURRENCY=USD')"),"-")</f>
        <v/>
      </c>
      <c r="I38" s="18">
        <f>_xlfn.IFNA(FDS(I$7,"FE_ESTIMATE(ROTE,MEAN,ANN_ROLL,"&amp;$C$3&amp;",NOW,,,'CURRENCY=USD')"),"-")</f>
        <v/>
      </c>
    </row>
    <row r="39">
      <c r="A39" s="6" t="inlineStr"/>
      <c r="B39" s="2" t="inlineStr">
        <is>
          <t>CET1 ratio (%)</t>
        </is>
      </c>
      <c r="C39" s="11" t="inlineStr">
        <is>
          <t>FE_ESTIMATE(COMCAP_RATIO_TIER1,MEAN,ANN_ROLL,{f1},NOW,,,'CURRENCY=USD')</t>
        </is>
      </c>
      <c r="D39" s="12" t="inlineStr">
        <is>
          <t>Verified</t>
        </is>
      </c>
      <c r="E39" s="18">
        <f>_xlfn.IFNA(FDS(E$7,"FE_ESTIMATE(COMCAP_RATIO_TIER1,MEAN,ANN_ROLL,"&amp;$C$3&amp;",NOW,,,'CURRENCY=USD')"),"-")</f>
        <v/>
      </c>
      <c r="F39" s="18">
        <f>_xlfn.IFNA(FDS(F$7,"FE_ESTIMATE(COMCAP_RATIO_TIER1,MEAN,ANN_ROLL,"&amp;$C$3&amp;",NOW,,,'CURRENCY=USD')"),"-")</f>
        <v/>
      </c>
      <c r="G39" s="18">
        <f>_xlfn.IFNA(FDS(G$7,"FE_ESTIMATE(COMCAP_RATIO_TIER1,MEAN,ANN_ROLL,"&amp;$C$3&amp;",NOW,,,'CURRENCY=USD')"),"-")</f>
        <v/>
      </c>
      <c r="H39" s="18">
        <f>_xlfn.IFNA(FDS(H$7,"FE_ESTIMATE(COMCAP_RATIO_TIER1,MEAN,ANN_ROLL,"&amp;$C$3&amp;",NOW,,,'CURRENCY=USD')"),"-")</f>
        <v/>
      </c>
      <c r="I39" s="18">
        <f>_xlfn.IFNA(FDS(I$7,"FE_ESTIMATE(COMCAP_RATIO_TIER1,MEAN,ANN_ROLL,"&amp;$C$3&amp;",NOW,,,'CURRENCY=USD')"),"-")</f>
        <v/>
      </c>
    </row>
    <row r="40">
      <c r="A40" s="6" t="inlineStr"/>
      <c r="B40" s="2" t="inlineStr">
        <is>
          <t>Gross loans ($M)</t>
        </is>
      </c>
      <c r="C40" s="11" t="inlineStr">
        <is>
          <t>FE_ESTIMATE(LOAN_GROSS,MEAN,ANN_ROLL,{f1},NOW,,,'CURRENCY=USD')</t>
        </is>
      </c>
      <c r="D40" s="12" t="inlineStr">
        <is>
          <t>Verified</t>
        </is>
      </c>
      <c r="E40" s="17">
        <f>_xlfn.IFNA(FDS(E$7,"FE_ESTIMATE(LOAN_GROSS,MEAN,ANN_ROLL,"&amp;$C$3&amp;",NOW,,,'CURRENCY=USD')"),"-")</f>
        <v/>
      </c>
      <c r="F40" s="17">
        <f>_xlfn.IFNA(FDS(F$7,"FE_ESTIMATE(LOAN_GROSS,MEAN,ANN_ROLL,"&amp;$C$3&amp;",NOW,,,'CURRENCY=USD')"),"-")</f>
        <v/>
      </c>
      <c r="G40" s="17">
        <f>_xlfn.IFNA(FDS(G$7,"FE_ESTIMATE(LOAN_GROSS,MEAN,ANN_ROLL,"&amp;$C$3&amp;",NOW,,,'CURRENCY=USD')"),"-")</f>
        <v/>
      </c>
      <c r="H40" s="17">
        <f>_xlfn.IFNA(FDS(H$7,"FE_ESTIMATE(LOAN_GROSS,MEAN,ANN_ROLL,"&amp;$C$3&amp;",NOW,,,'CURRENCY=USD')"),"-")</f>
        <v/>
      </c>
      <c r="I40" s="17">
        <f>_xlfn.IFNA(FDS(I$7,"FE_ESTIMATE(LOAN_GROSS,MEAN,ANN_ROLL,"&amp;$C$3&amp;",NOW,,,'CURRENCY=USD')"),"-")</f>
        <v/>
      </c>
    </row>
    <row r="41">
      <c r="A41" s="6" t="inlineStr"/>
      <c r="B41" s="2" t="inlineStr">
        <is>
          <t>Deposits ($M)</t>
        </is>
      </c>
      <c r="C41" s="11" t="inlineStr">
        <is>
          <t>FE_ESTIMATE(DEPS,MEAN,ANN_ROLL,{f1},NOW,,,'CURRENCY=USD')</t>
        </is>
      </c>
      <c r="D41" s="12" t="inlineStr">
        <is>
          <t>Verified</t>
        </is>
      </c>
      <c r="E41" s="17">
        <f>_xlfn.IFNA(FDS(E$7,"FE_ESTIMATE(DEPS,MEAN,ANN_ROLL,"&amp;$C$3&amp;",NOW,,,'CURRENCY=USD')"),"-")</f>
        <v/>
      </c>
      <c r="F41" s="17">
        <f>_xlfn.IFNA(FDS(F$7,"FE_ESTIMATE(DEPS,MEAN,ANN_ROLL,"&amp;$C$3&amp;",NOW,,,'CURRENCY=USD')"),"-")</f>
        <v/>
      </c>
      <c r="G41" s="17">
        <f>_xlfn.IFNA(FDS(G$7,"FE_ESTIMATE(DEPS,MEAN,ANN_ROLL,"&amp;$C$3&amp;",NOW,,,'CURRENCY=USD')"),"-")</f>
        <v/>
      </c>
      <c r="H41" s="17">
        <f>_xlfn.IFNA(FDS(H$7,"FE_ESTIMATE(DEPS,MEAN,ANN_ROLL,"&amp;$C$3&amp;",NOW,,,'CURRENCY=USD')"),"-")</f>
        <v/>
      </c>
      <c r="I41" s="17">
        <f>_xlfn.IFNA(FDS(I$7,"FE_ESTIMATE(DEPS,MEAN,ANN_ROLL,"&amp;$C$3&amp;",NOW,,,'CURRENCY=USD')"),"-")</f>
        <v/>
      </c>
    </row>
    <row r="42">
      <c r="A42" s="6" t="inlineStr"/>
      <c r="B42" s="2" t="inlineStr">
        <is>
          <t>Net charge-offs ($M)</t>
        </is>
      </c>
      <c r="C42" s="11" t="inlineStr">
        <is>
          <t>FE_ESTIMATE(NET_CHARGE_OFFS,MEAN,ANN_ROLL,{f1},NOW,,,'CURRENCY=USD')</t>
        </is>
      </c>
      <c r="D42" s="12" t="inlineStr">
        <is>
          <t>Verified</t>
        </is>
      </c>
      <c r="E42" s="17">
        <f>_xlfn.IFNA(FDS(E$7,"FE_ESTIMATE(NET_CHARGE_OFFS,MEAN,ANN_ROLL,"&amp;$C$3&amp;",NOW,,,'CURRENCY=USD')"),"-")</f>
        <v/>
      </c>
      <c r="F42" s="17">
        <f>_xlfn.IFNA(FDS(F$7,"FE_ESTIMATE(NET_CHARGE_OFFS,MEAN,ANN_ROLL,"&amp;$C$3&amp;",NOW,,,'CURRENCY=USD')"),"-")</f>
        <v/>
      </c>
      <c r="G42" s="17">
        <f>_xlfn.IFNA(FDS(G$7,"FE_ESTIMATE(NET_CHARGE_OFFS,MEAN,ANN_ROLL,"&amp;$C$3&amp;",NOW,,,'CURRENCY=USD')"),"-")</f>
        <v/>
      </c>
      <c r="H42" s="17">
        <f>_xlfn.IFNA(FDS(H$7,"FE_ESTIMATE(NET_CHARGE_OFFS,MEAN,ANN_ROLL,"&amp;$C$3&amp;",NOW,,,'CURRENCY=USD')"),"-")</f>
        <v/>
      </c>
      <c r="I42" s="17">
        <f>_xlfn.IFNA(FDS(I$7,"FE_ESTIMATE(NET_CHARGE_OFFS,MEAN,ANN_ROLL,"&amp;$C$3&amp;",NOW,,,'CURRENCY=USD')"),"-")</f>
        <v/>
      </c>
    </row>
    <row r="43">
      <c r="A43" s="6" t="inlineStr"/>
      <c r="B43" s="2" t="inlineStr">
        <is>
          <t>NCO / loans (%, annualized)</t>
        </is>
      </c>
      <c r="C43" s="11" t="inlineStr">
        <is>
          <t>FE_ESTIMATE(NETCHARGE_LOANNET,MEAN,ANN_ROLL,{f1},NOW,,,'CURRENCY=USD')</t>
        </is>
      </c>
      <c r="D43" s="12" t="inlineStr">
        <is>
          <t>Verified</t>
        </is>
      </c>
      <c r="E43" s="18">
        <f>_xlfn.IFNA(FDS(E$7,"FE_ESTIMATE(NETCHARGE_LOANNET,MEAN,ANN_ROLL,"&amp;$C$3&amp;",NOW,,,'CURRENCY=USD')"),"-")</f>
        <v/>
      </c>
      <c r="F43" s="18">
        <f>_xlfn.IFNA(FDS(F$7,"FE_ESTIMATE(NETCHARGE_LOANNET,MEAN,ANN_ROLL,"&amp;$C$3&amp;",NOW,,,'CURRENCY=USD')"),"-")</f>
        <v/>
      </c>
      <c r="G43" s="18">
        <f>_xlfn.IFNA(FDS(G$7,"FE_ESTIMATE(NETCHARGE_LOANNET,MEAN,ANN_ROLL,"&amp;$C$3&amp;",NOW,,,'CURRENCY=USD')"),"-")</f>
        <v/>
      </c>
      <c r="H43" s="18">
        <f>_xlfn.IFNA(FDS(H$7,"FE_ESTIMATE(NETCHARGE_LOANNET,MEAN,ANN_ROLL,"&amp;$C$3&amp;",NOW,,,'CURRENCY=USD')"),"-")</f>
        <v/>
      </c>
      <c r="I43" s="18">
        <f>_xlfn.IFNA(FDS(I$7,"FE_ESTIMATE(NETCHARGE_LOANNET,MEAN,ANN_ROLL,"&amp;$C$3&amp;",NOW,,,'CURRENCY=USD')"),"-")</f>
        <v/>
      </c>
    </row>
    <row r="44">
      <c r="A44" s="6" t="inlineStr"/>
      <c r="B44" s="2" t="inlineStr">
        <is>
          <t>Loan-loss provision ($M)</t>
        </is>
      </c>
      <c r="C44" s="11" t="inlineStr">
        <is>
          <t>FE_ESTIMATE(LOAN_PROV,MEAN,ANN_ROLL,{f1},NOW,,,'CURRENCY=USD')</t>
        </is>
      </c>
      <c r="D44" s="12" t="inlineStr">
        <is>
          <t>Verified</t>
        </is>
      </c>
      <c r="E44" s="17">
        <f>_xlfn.IFNA(FDS(E$7,"FE_ESTIMATE(LOAN_PROV,MEAN,ANN_ROLL,"&amp;$C$3&amp;",NOW,,,'CURRENCY=USD')"),"-")</f>
        <v/>
      </c>
      <c r="F44" s="17">
        <f>_xlfn.IFNA(FDS(F$7,"FE_ESTIMATE(LOAN_PROV,MEAN,ANN_ROLL,"&amp;$C$3&amp;",NOW,,,'CURRENCY=USD')"),"-")</f>
        <v/>
      </c>
      <c r="G44" s="17">
        <f>_xlfn.IFNA(FDS(G$7,"FE_ESTIMATE(LOAN_PROV,MEAN,ANN_ROLL,"&amp;$C$3&amp;",NOW,,,'CURRENCY=USD')"),"-")</f>
        <v/>
      </c>
      <c r="H44" s="17">
        <f>_xlfn.IFNA(FDS(H$7,"FE_ESTIMATE(LOAN_PROV,MEAN,ANN_ROLL,"&amp;$C$3&amp;",NOW,,,'CURRENCY=USD')"),"-")</f>
        <v/>
      </c>
      <c r="I44" s="17">
        <f>_xlfn.IFNA(FDS(I$7,"FE_ESTIMATE(LOAN_PROV,MEAN,ANN_ROLL,"&amp;$C$3&amp;",NOW,,,'CURRENCY=USD')"),"-")</f>
        <v/>
      </c>
    </row>
    <row r="45">
      <c r="A45" s="6" t="inlineStr"/>
      <c r="B45" s="2" t="inlineStr">
        <is>
          <t>DPS ($)</t>
        </is>
      </c>
      <c r="C45" s="11" t="inlineStr">
        <is>
          <t>FE_ESTIMATE(NETDIV,MEAN,ANN_ROLL,{f1},NOW,,,'CURRENCY=USD')</t>
        </is>
      </c>
      <c r="D45" s="12" t="inlineStr">
        <is>
          <t>Verified</t>
        </is>
      </c>
      <c r="E45" s="19">
        <f>_xlfn.IFNA(FDS(E$7,"FE_ESTIMATE(NETDIV,MEAN,ANN_ROLL,"&amp;$C$3&amp;",NOW,,,'CURRENCY=USD')"),"-")</f>
        <v/>
      </c>
      <c r="F45" s="19">
        <f>_xlfn.IFNA(FDS(F$7,"FE_ESTIMATE(NETDIV,MEAN,ANN_ROLL,"&amp;$C$3&amp;",NOW,,,'CURRENCY=USD')"),"-")</f>
        <v/>
      </c>
      <c r="G45" s="19">
        <f>_xlfn.IFNA(FDS(G$7,"FE_ESTIMATE(NETDIV,MEAN,ANN_ROLL,"&amp;$C$3&amp;",NOW,,,'CURRENCY=USD')"),"-")</f>
        <v/>
      </c>
      <c r="H45" s="19">
        <f>_xlfn.IFNA(FDS(H$7,"FE_ESTIMATE(NETDIV,MEAN,ANN_ROLL,"&amp;$C$3&amp;",NOW,,,'CURRENCY=USD')"),"-")</f>
        <v/>
      </c>
      <c r="I45" s="19">
        <f>_xlfn.IFNA(FDS(I$7,"FE_ESTIMATE(NETDIV,MEAN,ANN_ROLL,"&amp;$C$3&amp;",NOW,,,'CURRENCY=USD')"),"-")</f>
        <v/>
      </c>
    </row>
    <row r="46">
      <c r="A46" s="6" t="inlineStr"/>
      <c r="B46" s="2" t="inlineStr">
        <is>
          <t>TBVPS ($)</t>
        </is>
      </c>
      <c r="C46" s="11" t="inlineStr">
        <is>
          <t>FE_ESTIMATE(BPS_TANG,MEAN,ANN_ROLL,{f1},NOW,,,'CURRENCY=USD')</t>
        </is>
      </c>
      <c r="D46" s="12" t="inlineStr">
        <is>
          <t>Verified</t>
        </is>
      </c>
      <c r="E46" s="19">
        <f>_xlfn.IFNA(FDS(E$7,"FE_ESTIMATE(BPS_TANG,MEAN,ANN_ROLL,"&amp;$C$3&amp;",NOW,,,'CURRENCY=USD')"),"-")</f>
        <v/>
      </c>
      <c r="F46" s="19">
        <f>_xlfn.IFNA(FDS(F$7,"FE_ESTIMATE(BPS_TANG,MEAN,ANN_ROLL,"&amp;$C$3&amp;",NOW,,,'CURRENCY=USD')"),"-")</f>
        <v/>
      </c>
      <c r="G46" s="19">
        <f>_xlfn.IFNA(FDS(G$7,"FE_ESTIMATE(BPS_TANG,MEAN,ANN_ROLL,"&amp;$C$3&amp;",NOW,,,'CURRENCY=USD')"),"-")</f>
        <v/>
      </c>
      <c r="H46" s="19">
        <f>_xlfn.IFNA(FDS(H$7,"FE_ESTIMATE(BPS_TANG,MEAN,ANN_ROLL,"&amp;$C$3&amp;",NOW,,,'CURRENCY=USD')"),"-")</f>
        <v/>
      </c>
      <c r="I46" s="19">
        <f>_xlfn.IFNA(FDS(I$7,"FE_ESTIMATE(BPS_TANG,MEAN,ANN_ROLL,"&amp;$C$3&amp;",NOW,,,'CURRENCY=USD')"),"-")</f>
        <v/>
      </c>
    </row>
    <row r="47">
      <c r="A47" s="14" t="inlineStr">
        <is>
          <t>Fiscal year 2 (C4)</t>
        </is>
      </c>
      <c r="B47" s="14" t="n"/>
      <c r="C47" s="14" t="n"/>
      <c r="D47" s="14" t="n"/>
      <c r="E47" s="14" t="n"/>
      <c r="F47" s="14" t="n"/>
      <c r="G47" s="14" t="n"/>
      <c r="H47" s="14" t="n"/>
      <c r="I47" s="14" t="n"/>
    </row>
    <row r="48">
      <c r="A48" s="6" t="inlineStr"/>
      <c r="B48" s="2" t="inlineStr">
        <is>
          <t>EPS ($)</t>
        </is>
      </c>
      <c r="C48" s="11" t="inlineStr">
        <is>
          <t>FE_ESTIMATE(EPS,MEAN,ANN_ROLL,{f2},NOW,,,'CURRENCY=USD')</t>
        </is>
      </c>
      <c r="D48" s="12" t="inlineStr">
        <is>
          <t>Verified</t>
        </is>
      </c>
      <c r="E48" s="19">
        <f>_xlfn.IFNA(FDS(E$7,"FE_ESTIMATE(EPS,MEAN,ANN_ROLL,"&amp;$C$4&amp;",NOW,,,'CURRENCY=USD')"),"-")</f>
        <v/>
      </c>
      <c r="F48" s="19">
        <f>_xlfn.IFNA(FDS(F$7,"FE_ESTIMATE(EPS,MEAN,ANN_ROLL,"&amp;$C$4&amp;",NOW,,,'CURRENCY=USD')"),"-")</f>
        <v/>
      </c>
      <c r="G48" s="19">
        <f>_xlfn.IFNA(FDS(G$7,"FE_ESTIMATE(EPS,MEAN,ANN_ROLL,"&amp;$C$4&amp;",NOW,,,'CURRENCY=USD')"),"-")</f>
        <v/>
      </c>
      <c r="H48" s="19">
        <f>_xlfn.IFNA(FDS(H$7,"FE_ESTIMATE(EPS,MEAN,ANN_ROLL,"&amp;$C$4&amp;",NOW,,,'CURRENCY=USD')"),"-")</f>
        <v/>
      </c>
      <c r="I48" s="19">
        <f>_xlfn.IFNA(FDS(I$7,"FE_ESTIMATE(EPS,MEAN,ANN_ROLL,"&amp;$C$4&amp;",NOW,,,'CURRENCY=USD')"),"-")</f>
        <v/>
      </c>
    </row>
    <row r="49">
      <c r="A49" s="6" t="inlineStr"/>
      <c r="B49" s="2" t="inlineStr">
        <is>
          <t>Revenue ($M)</t>
        </is>
      </c>
      <c r="C49" s="11" t="inlineStr">
        <is>
          <t>FE_ESTIMATE(SALES,MEAN,ANN_ROLL,{f2},NOW,,,'CURRENCY=USD')</t>
        </is>
      </c>
      <c r="D49" s="12" t="inlineStr">
        <is>
          <t>Verified</t>
        </is>
      </c>
      <c r="E49" s="17">
        <f>_xlfn.IFNA(FDS(E$7,"FE_ESTIMATE(SALES,MEAN,ANN_ROLL,"&amp;$C$4&amp;",NOW,,,'CURRENCY=USD')"),"-")</f>
        <v/>
      </c>
      <c r="F49" s="17">
        <f>_xlfn.IFNA(FDS(F$7,"FE_ESTIMATE(SALES,MEAN,ANN_ROLL,"&amp;$C$4&amp;",NOW,,,'CURRENCY=USD')"),"-")</f>
        <v/>
      </c>
      <c r="G49" s="17">
        <f>_xlfn.IFNA(FDS(G$7,"FE_ESTIMATE(SALES,MEAN,ANN_ROLL,"&amp;$C$4&amp;",NOW,,,'CURRENCY=USD')"),"-")</f>
        <v/>
      </c>
      <c r="H49" s="17">
        <f>_xlfn.IFNA(FDS(H$7,"FE_ESTIMATE(SALES,MEAN,ANN_ROLL,"&amp;$C$4&amp;",NOW,,,'CURRENCY=USD')"),"-")</f>
        <v/>
      </c>
      <c r="I49" s="17">
        <f>_xlfn.IFNA(FDS(I$7,"FE_ESTIMATE(SALES,MEAN,ANN_ROLL,"&amp;$C$4&amp;",NOW,,,'CURRENCY=USD')"),"-")</f>
        <v/>
      </c>
    </row>
    <row r="50">
      <c r="A50" s="6" t="inlineStr"/>
      <c r="B50" s="2" t="inlineStr">
        <is>
          <t>Net interest income ($M)</t>
        </is>
      </c>
      <c r="C50" s="11" t="inlineStr">
        <is>
          <t>FE_ESTIMATE(NETINTERESTINC,MEAN,ANN_ROLL,{f2},NOW,,,'CURRENCY=USD')</t>
        </is>
      </c>
      <c r="D50" s="12" t="inlineStr">
        <is>
          <t>Verified</t>
        </is>
      </c>
      <c r="E50" s="17">
        <f>_xlfn.IFNA(FDS(E$7,"FE_ESTIMATE(NETINTERESTINC,MEAN,ANN_ROLL,"&amp;$C$4&amp;",NOW,,,'CURRENCY=USD')"),"-")</f>
        <v/>
      </c>
      <c r="F50" s="17">
        <f>_xlfn.IFNA(FDS(F$7,"FE_ESTIMATE(NETINTERESTINC,MEAN,ANN_ROLL,"&amp;$C$4&amp;",NOW,,,'CURRENCY=USD')"),"-")</f>
        <v/>
      </c>
      <c r="G50" s="17">
        <f>_xlfn.IFNA(FDS(G$7,"FE_ESTIMATE(NETINTERESTINC,MEAN,ANN_ROLL,"&amp;$C$4&amp;",NOW,,,'CURRENCY=USD')"),"-")</f>
        <v/>
      </c>
      <c r="H50" s="17">
        <f>_xlfn.IFNA(FDS(H$7,"FE_ESTIMATE(NETINTERESTINC,MEAN,ANN_ROLL,"&amp;$C$4&amp;",NOW,,,'CURRENCY=USD')"),"-")</f>
        <v/>
      </c>
      <c r="I50" s="17">
        <f>_xlfn.IFNA(FDS(I$7,"FE_ESTIMATE(NETINTERESTINC,MEAN,ANN_ROLL,"&amp;$C$4&amp;",NOW,,,'CURRENCY=USD')"),"-")</f>
        <v/>
      </c>
    </row>
    <row r="51">
      <c r="A51" s="6" t="inlineStr"/>
      <c r="B51" s="2" t="inlineStr">
        <is>
          <t>Non-interest income ($M)</t>
        </is>
      </c>
      <c r="C51" s="11" t="inlineStr">
        <is>
          <t>FE_ESTIMATE(NON_INT_INC,MEAN,ANN_ROLL,{f2},NOW,,,'CURRENCY=USD')</t>
        </is>
      </c>
      <c r="D51" s="12" t="inlineStr">
        <is>
          <t>Verified</t>
        </is>
      </c>
      <c r="E51" s="17">
        <f>_xlfn.IFNA(FDS(E$7,"FE_ESTIMATE(NON_INT_INC,MEAN,ANN_ROLL,"&amp;$C$4&amp;",NOW,,,'CURRENCY=USD')"),"-")</f>
        <v/>
      </c>
      <c r="F51" s="17">
        <f>_xlfn.IFNA(FDS(F$7,"FE_ESTIMATE(NON_INT_INC,MEAN,ANN_ROLL,"&amp;$C$4&amp;",NOW,,,'CURRENCY=USD')"),"-")</f>
        <v/>
      </c>
      <c r="G51" s="17">
        <f>_xlfn.IFNA(FDS(G$7,"FE_ESTIMATE(NON_INT_INC,MEAN,ANN_ROLL,"&amp;$C$4&amp;",NOW,,,'CURRENCY=USD')"),"-")</f>
        <v/>
      </c>
      <c r="H51" s="17">
        <f>_xlfn.IFNA(FDS(H$7,"FE_ESTIMATE(NON_INT_INC,MEAN,ANN_ROLL,"&amp;$C$4&amp;",NOW,,,'CURRENCY=USD')"),"-")</f>
        <v/>
      </c>
      <c r="I51" s="17">
        <f>_xlfn.IFNA(FDS(I$7,"FE_ESTIMATE(NON_INT_INC,MEAN,ANN_ROLL,"&amp;$C$4&amp;",NOW,,,'CURRENCY=USD')"),"-")</f>
        <v/>
      </c>
    </row>
    <row r="52">
      <c r="A52" s="6" t="inlineStr"/>
      <c r="B52" s="2" t="inlineStr">
        <is>
          <t>NIM (%)</t>
        </is>
      </c>
      <c r="C52" s="11" t="inlineStr">
        <is>
          <t>FE_ESTIMATE(INT_INC_MARGIN,MEAN,ANN_ROLL,{f2},NOW,,,'CURRENCY=USD')</t>
        </is>
      </c>
      <c r="D52" s="12" t="inlineStr">
        <is>
          <t>Verified</t>
        </is>
      </c>
      <c r="E52" s="18">
        <f>_xlfn.IFNA(FDS(E$7,"FE_ESTIMATE(INT_INC_MARGIN,MEAN,ANN_ROLL,"&amp;$C$4&amp;",NOW,,,'CURRENCY=USD')"),"-")</f>
        <v/>
      </c>
      <c r="F52" s="18">
        <f>_xlfn.IFNA(FDS(F$7,"FE_ESTIMATE(INT_INC_MARGIN,MEAN,ANN_ROLL,"&amp;$C$4&amp;",NOW,,,'CURRENCY=USD')"),"-")</f>
        <v/>
      </c>
      <c r="G52" s="18">
        <f>_xlfn.IFNA(FDS(G$7,"FE_ESTIMATE(INT_INC_MARGIN,MEAN,ANN_ROLL,"&amp;$C$4&amp;",NOW,,,'CURRENCY=USD')"),"-")</f>
        <v/>
      </c>
      <c r="H52" s="18">
        <f>_xlfn.IFNA(FDS(H$7,"FE_ESTIMATE(INT_INC_MARGIN,MEAN,ANN_ROLL,"&amp;$C$4&amp;",NOW,,,'CURRENCY=USD')"),"-")</f>
        <v/>
      </c>
      <c r="I52" s="18">
        <f>_xlfn.IFNA(FDS(I$7,"FE_ESTIMATE(INT_INC_MARGIN,MEAN,ANN_ROLL,"&amp;$C$4&amp;",NOW,,,'CURRENCY=USD')"),"-")</f>
        <v/>
      </c>
    </row>
    <row r="53">
      <c r="A53" s="6" t="inlineStr"/>
      <c r="B53" s="2" t="inlineStr">
        <is>
          <t>Efficiency ratio (%)</t>
        </is>
      </c>
      <c r="C53" s="11" t="inlineStr">
        <is>
          <t>FE_ESTIMATE(COST_INCOME,MEAN,ANN_ROLL,{f2},NOW,,,'CURRENCY=USD')</t>
        </is>
      </c>
      <c r="D53" s="12" t="inlineStr">
        <is>
          <t>Verified</t>
        </is>
      </c>
      <c r="E53" s="18">
        <f>_xlfn.IFNA(FDS(E$7,"FE_ESTIMATE(COST_INCOME,MEAN,ANN_ROLL,"&amp;$C$4&amp;",NOW,,,'CURRENCY=USD')"),"-")</f>
        <v/>
      </c>
      <c r="F53" s="18">
        <f>_xlfn.IFNA(FDS(F$7,"FE_ESTIMATE(COST_INCOME,MEAN,ANN_ROLL,"&amp;$C$4&amp;",NOW,,,'CURRENCY=USD')"),"-")</f>
        <v/>
      </c>
      <c r="G53" s="18">
        <f>_xlfn.IFNA(FDS(G$7,"FE_ESTIMATE(COST_INCOME,MEAN,ANN_ROLL,"&amp;$C$4&amp;",NOW,,,'CURRENCY=USD')"),"-")</f>
        <v/>
      </c>
      <c r="H53" s="18">
        <f>_xlfn.IFNA(FDS(H$7,"FE_ESTIMATE(COST_INCOME,MEAN,ANN_ROLL,"&amp;$C$4&amp;",NOW,,,'CURRENCY=USD')"),"-")</f>
        <v/>
      </c>
      <c r="I53" s="18">
        <f>_xlfn.IFNA(FDS(I$7,"FE_ESTIMATE(COST_INCOME,MEAN,ANN_ROLL,"&amp;$C$4&amp;",NOW,,,'CURRENCY=USD')"),"-")</f>
        <v/>
      </c>
    </row>
    <row r="54">
      <c r="A54" s="6" t="inlineStr"/>
      <c r="B54" s="2" t="inlineStr">
        <is>
          <t>Non-interest expense ($M)</t>
        </is>
      </c>
      <c r="C54" s="11" t="inlineStr">
        <is>
          <t>FE_ESTIMATE(OPEREXPEN,MEAN,ANN_ROLL,{f2},NOW,,,'CURRENCY=USD')</t>
        </is>
      </c>
      <c r="D54" s="12" t="inlineStr">
        <is>
          <t>Verified</t>
        </is>
      </c>
      <c r="E54" s="17">
        <f>_xlfn.IFNA(FDS(E$7,"FE_ESTIMATE(OPEREXPEN,MEAN,ANN_ROLL,"&amp;$C$4&amp;",NOW,,,'CURRENCY=USD')"),"-")</f>
        <v/>
      </c>
      <c r="F54" s="17">
        <f>_xlfn.IFNA(FDS(F$7,"FE_ESTIMATE(OPEREXPEN,MEAN,ANN_ROLL,"&amp;$C$4&amp;",NOW,,,'CURRENCY=USD')"),"-")</f>
        <v/>
      </c>
      <c r="G54" s="17">
        <f>_xlfn.IFNA(FDS(G$7,"FE_ESTIMATE(OPEREXPEN,MEAN,ANN_ROLL,"&amp;$C$4&amp;",NOW,,,'CURRENCY=USD')"),"-")</f>
        <v/>
      </c>
      <c r="H54" s="17">
        <f>_xlfn.IFNA(FDS(H$7,"FE_ESTIMATE(OPEREXPEN,MEAN,ANN_ROLL,"&amp;$C$4&amp;",NOW,,,'CURRENCY=USD')"),"-")</f>
        <v/>
      </c>
      <c r="I54" s="17">
        <f>_xlfn.IFNA(FDS(I$7,"FE_ESTIMATE(OPEREXPEN,MEAN,ANN_ROLL,"&amp;$C$4&amp;",NOW,,,'CURRENCY=USD')"),"-")</f>
        <v/>
      </c>
    </row>
    <row r="55">
      <c r="A55" s="6" t="inlineStr"/>
      <c r="B55" s="2" t="inlineStr">
        <is>
          <t>PPNR ($M)</t>
        </is>
      </c>
      <c r="C55" s="11" t="inlineStr">
        <is>
          <t>FE_ESTIMATE(EBIT_ADJ,MEAN,ANN_ROLL,{f2},NOW,,,'CURRENCY=USD')</t>
        </is>
      </c>
      <c r="D55" s="12" t="inlineStr">
        <is>
          <t>Verified</t>
        </is>
      </c>
      <c r="E55" s="17">
        <f>_xlfn.IFNA(FDS(E$7,"FE_ESTIMATE(EBIT_ADJ,MEAN,ANN_ROLL,"&amp;$C$4&amp;",NOW,,,'CURRENCY=USD')"),"-")</f>
        <v/>
      </c>
      <c r="F55" s="17">
        <f>_xlfn.IFNA(FDS(F$7,"FE_ESTIMATE(EBIT_ADJ,MEAN,ANN_ROLL,"&amp;$C$4&amp;",NOW,,,'CURRENCY=USD')"),"-")</f>
        <v/>
      </c>
      <c r="G55" s="17">
        <f>_xlfn.IFNA(FDS(G$7,"FE_ESTIMATE(EBIT_ADJ,MEAN,ANN_ROLL,"&amp;$C$4&amp;",NOW,,,'CURRENCY=USD')"),"-")</f>
        <v/>
      </c>
      <c r="H55" s="17">
        <f>_xlfn.IFNA(FDS(H$7,"FE_ESTIMATE(EBIT_ADJ,MEAN,ANN_ROLL,"&amp;$C$4&amp;",NOW,,,'CURRENCY=USD')"),"-")</f>
        <v/>
      </c>
      <c r="I55" s="17">
        <f>_xlfn.IFNA(FDS(I$7,"FE_ESTIMATE(EBIT_ADJ,MEAN,ANN_ROLL,"&amp;$C$4&amp;",NOW,,,'CURRENCY=USD')"),"-")</f>
        <v/>
      </c>
    </row>
    <row r="56">
      <c r="A56" s="6" t="inlineStr"/>
      <c r="B56" s="2" t="inlineStr">
        <is>
          <t>Net income ($M)</t>
        </is>
      </c>
      <c r="C56" s="11" t="inlineStr">
        <is>
          <t>FE_ESTIMATE(NETPROFIT,MEAN,ANN_ROLL,{f2},NOW,,,'CURRENCY=USD')</t>
        </is>
      </c>
      <c r="D56" s="12" t="inlineStr">
        <is>
          <t>Verified</t>
        </is>
      </c>
      <c r="E56" s="17">
        <f>_xlfn.IFNA(FDS(E$7,"FE_ESTIMATE(NETPROFIT,MEAN,ANN_ROLL,"&amp;$C$4&amp;",NOW,,,'CURRENCY=USD')"),"-")</f>
        <v/>
      </c>
      <c r="F56" s="17">
        <f>_xlfn.IFNA(FDS(F$7,"FE_ESTIMATE(NETPROFIT,MEAN,ANN_ROLL,"&amp;$C$4&amp;",NOW,,,'CURRENCY=USD')"),"-")</f>
        <v/>
      </c>
      <c r="G56" s="17">
        <f>_xlfn.IFNA(FDS(G$7,"FE_ESTIMATE(NETPROFIT,MEAN,ANN_ROLL,"&amp;$C$4&amp;",NOW,,,'CURRENCY=USD')"),"-")</f>
        <v/>
      </c>
      <c r="H56" s="17">
        <f>_xlfn.IFNA(FDS(H$7,"FE_ESTIMATE(NETPROFIT,MEAN,ANN_ROLL,"&amp;$C$4&amp;",NOW,,,'CURRENCY=USD')"),"-")</f>
        <v/>
      </c>
      <c r="I56" s="17">
        <f>_xlfn.IFNA(FDS(I$7,"FE_ESTIMATE(NETPROFIT,MEAN,ANN_ROLL,"&amp;$C$4&amp;",NOW,,,'CURRENCY=USD')"),"-")</f>
        <v/>
      </c>
    </row>
    <row r="57">
      <c r="A57" s="6" t="inlineStr"/>
      <c r="B57" s="2" t="inlineStr">
        <is>
          <t>ROTCE (%)</t>
        </is>
      </c>
      <c r="C57" s="11" t="inlineStr">
        <is>
          <t>FE_ESTIMATE(ROTE,MEAN,ANN_ROLL,{f2},NOW,,,'CURRENCY=USD')</t>
        </is>
      </c>
      <c r="D57" s="12" t="inlineStr">
        <is>
          <t>Verified</t>
        </is>
      </c>
      <c r="E57" s="18">
        <f>_xlfn.IFNA(FDS(E$7,"FE_ESTIMATE(ROTE,MEAN,ANN_ROLL,"&amp;$C$4&amp;",NOW,,,'CURRENCY=USD')"),"-")</f>
        <v/>
      </c>
      <c r="F57" s="18">
        <f>_xlfn.IFNA(FDS(F$7,"FE_ESTIMATE(ROTE,MEAN,ANN_ROLL,"&amp;$C$4&amp;",NOW,,,'CURRENCY=USD')"),"-")</f>
        <v/>
      </c>
      <c r="G57" s="18">
        <f>_xlfn.IFNA(FDS(G$7,"FE_ESTIMATE(ROTE,MEAN,ANN_ROLL,"&amp;$C$4&amp;",NOW,,,'CURRENCY=USD')"),"-")</f>
        <v/>
      </c>
      <c r="H57" s="18">
        <f>_xlfn.IFNA(FDS(H$7,"FE_ESTIMATE(ROTE,MEAN,ANN_ROLL,"&amp;$C$4&amp;",NOW,,,'CURRENCY=USD')"),"-")</f>
        <v/>
      </c>
      <c r="I57" s="18">
        <f>_xlfn.IFNA(FDS(I$7,"FE_ESTIMATE(ROTE,MEAN,ANN_ROLL,"&amp;$C$4&amp;",NOW,,,'CURRENCY=USD')"),"-")</f>
        <v/>
      </c>
    </row>
    <row r="58">
      <c r="A58" s="6" t="inlineStr"/>
      <c r="B58" s="2" t="inlineStr">
        <is>
          <t>CET1 ratio (%)</t>
        </is>
      </c>
      <c r="C58" s="11" t="inlineStr">
        <is>
          <t>FE_ESTIMATE(COMCAP_RATIO_TIER1,MEAN,ANN_ROLL,{f2},NOW,,,'CURRENCY=USD')</t>
        </is>
      </c>
      <c r="D58" s="12" t="inlineStr">
        <is>
          <t>Verified</t>
        </is>
      </c>
      <c r="E58" s="18">
        <f>_xlfn.IFNA(FDS(E$7,"FE_ESTIMATE(COMCAP_RATIO_TIER1,MEAN,ANN_ROLL,"&amp;$C$4&amp;",NOW,,,'CURRENCY=USD')"),"-")</f>
        <v/>
      </c>
      <c r="F58" s="18">
        <f>_xlfn.IFNA(FDS(F$7,"FE_ESTIMATE(COMCAP_RATIO_TIER1,MEAN,ANN_ROLL,"&amp;$C$4&amp;",NOW,,,'CURRENCY=USD')"),"-")</f>
        <v/>
      </c>
      <c r="G58" s="18">
        <f>_xlfn.IFNA(FDS(G$7,"FE_ESTIMATE(COMCAP_RATIO_TIER1,MEAN,ANN_ROLL,"&amp;$C$4&amp;",NOW,,,'CURRENCY=USD')"),"-")</f>
        <v/>
      </c>
      <c r="H58" s="18">
        <f>_xlfn.IFNA(FDS(H$7,"FE_ESTIMATE(COMCAP_RATIO_TIER1,MEAN,ANN_ROLL,"&amp;$C$4&amp;",NOW,,,'CURRENCY=USD')"),"-")</f>
        <v/>
      </c>
      <c r="I58" s="18">
        <f>_xlfn.IFNA(FDS(I$7,"FE_ESTIMATE(COMCAP_RATIO_TIER1,MEAN,ANN_ROLL,"&amp;$C$4&amp;",NOW,,,'CURRENCY=USD')"),"-")</f>
        <v/>
      </c>
    </row>
    <row r="59">
      <c r="A59" s="6" t="inlineStr"/>
      <c r="B59" s="2" t="inlineStr">
        <is>
          <t>Gross loans ($M)</t>
        </is>
      </c>
      <c r="C59" s="11" t="inlineStr">
        <is>
          <t>FE_ESTIMATE(LOAN_GROSS,MEAN,ANN_ROLL,{f2},NOW,,,'CURRENCY=USD')</t>
        </is>
      </c>
      <c r="D59" s="12" t="inlineStr">
        <is>
          <t>Verified</t>
        </is>
      </c>
      <c r="E59" s="17">
        <f>_xlfn.IFNA(FDS(E$7,"FE_ESTIMATE(LOAN_GROSS,MEAN,ANN_ROLL,"&amp;$C$4&amp;",NOW,,,'CURRENCY=USD')"),"-")</f>
        <v/>
      </c>
      <c r="F59" s="17">
        <f>_xlfn.IFNA(FDS(F$7,"FE_ESTIMATE(LOAN_GROSS,MEAN,ANN_ROLL,"&amp;$C$4&amp;",NOW,,,'CURRENCY=USD')"),"-")</f>
        <v/>
      </c>
      <c r="G59" s="17">
        <f>_xlfn.IFNA(FDS(G$7,"FE_ESTIMATE(LOAN_GROSS,MEAN,ANN_ROLL,"&amp;$C$4&amp;",NOW,,,'CURRENCY=USD')"),"-")</f>
        <v/>
      </c>
      <c r="H59" s="17">
        <f>_xlfn.IFNA(FDS(H$7,"FE_ESTIMATE(LOAN_GROSS,MEAN,ANN_ROLL,"&amp;$C$4&amp;",NOW,,,'CURRENCY=USD')"),"-")</f>
        <v/>
      </c>
      <c r="I59" s="17">
        <f>_xlfn.IFNA(FDS(I$7,"FE_ESTIMATE(LOAN_GROSS,MEAN,ANN_ROLL,"&amp;$C$4&amp;",NOW,,,'CURRENCY=USD')"),"-")</f>
        <v/>
      </c>
    </row>
    <row r="60">
      <c r="A60" s="6" t="inlineStr"/>
      <c r="B60" s="2" t="inlineStr">
        <is>
          <t>Deposits ($M)</t>
        </is>
      </c>
      <c r="C60" s="11" t="inlineStr">
        <is>
          <t>FE_ESTIMATE(DEPS,MEAN,ANN_ROLL,{f2},NOW,,,'CURRENCY=USD')</t>
        </is>
      </c>
      <c r="D60" s="12" t="inlineStr">
        <is>
          <t>Verified</t>
        </is>
      </c>
      <c r="E60" s="17">
        <f>_xlfn.IFNA(FDS(E$7,"FE_ESTIMATE(DEPS,MEAN,ANN_ROLL,"&amp;$C$4&amp;",NOW,,,'CURRENCY=USD')"),"-")</f>
        <v/>
      </c>
      <c r="F60" s="17">
        <f>_xlfn.IFNA(FDS(F$7,"FE_ESTIMATE(DEPS,MEAN,ANN_ROLL,"&amp;$C$4&amp;",NOW,,,'CURRENCY=USD')"),"-")</f>
        <v/>
      </c>
      <c r="G60" s="17">
        <f>_xlfn.IFNA(FDS(G$7,"FE_ESTIMATE(DEPS,MEAN,ANN_ROLL,"&amp;$C$4&amp;",NOW,,,'CURRENCY=USD')"),"-")</f>
        <v/>
      </c>
      <c r="H60" s="17">
        <f>_xlfn.IFNA(FDS(H$7,"FE_ESTIMATE(DEPS,MEAN,ANN_ROLL,"&amp;$C$4&amp;",NOW,,,'CURRENCY=USD')"),"-")</f>
        <v/>
      </c>
      <c r="I60" s="17">
        <f>_xlfn.IFNA(FDS(I$7,"FE_ESTIMATE(DEPS,MEAN,ANN_ROLL,"&amp;$C$4&amp;",NOW,,,'CURRENCY=USD')"),"-")</f>
        <v/>
      </c>
    </row>
    <row r="61">
      <c r="A61" s="6" t="inlineStr"/>
      <c r="B61" s="2" t="inlineStr">
        <is>
          <t>Net charge-offs ($M)</t>
        </is>
      </c>
      <c r="C61" s="11" t="inlineStr">
        <is>
          <t>FE_ESTIMATE(NET_CHARGE_OFFS,MEAN,ANN_ROLL,{f2},NOW,,,'CURRENCY=USD')</t>
        </is>
      </c>
      <c r="D61" s="12" t="inlineStr">
        <is>
          <t>Verified</t>
        </is>
      </c>
      <c r="E61" s="17">
        <f>_xlfn.IFNA(FDS(E$7,"FE_ESTIMATE(NET_CHARGE_OFFS,MEAN,ANN_ROLL,"&amp;$C$4&amp;",NOW,,,'CURRENCY=USD')"),"-")</f>
        <v/>
      </c>
      <c r="F61" s="17">
        <f>_xlfn.IFNA(FDS(F$7,"FE_ESTIMATE(NET_CHARGE_OFFS,MEAN,ANN_ROLL,"&amp;$C$4&amp;",NOW,,,'CURRENCY=USD')"),"-")</f>
        <v/>
      </c>
      <c r="G61" s="17">
        <f>_xlfn.IFNA(FDS(G$7,"FE_ESTIMATE(NET_CHARGE_OFFS,MEAN,ANN_ROLL,"&amp;$C$4&amp;",NOW,,,'CURRENCY=USD')"),"-")</f>
        <v/>
      </c>
      <c r="H61" s="17">
        <f>_xlfn.IFNA(FDS(H$7,"FE_ESTIMATE(NET_CHARGE_OFFS,MEAN,ANN_ROLL,"&amp;$C$4&amp;",NOW,,,'CURRENCY=USD')"),"-")</f>
        <v/>
      </c>
      <c r="I61" s="17">
        <f>_xlfn.IFNA(FDS(I$7,"FE_ESTIMATE(NET_CHARGE_OFFS,MEAN,ANN_ROLL,"&amp;$C$4&amp;",NOW,,,'CURRENCY=USD')"),"-")</f>
        <v/>
      </c>
    </row>
    <row r="62">
      <c r="A62" s="6" t="inlineStr"/>
      <c r="B62" s="2" t="inlineStr">
        <is>
          <t>NCO / loans (%, annualized)</t>
        </is>
      </c>
      <c r="C62" s="11" t="inlineStr">
        <is>
          <t>FE_ESTIMATE(NETCHARGE_LOANNET,MEAN,ANN_ROLL,{f2},NOW,,,'CURRENCY=USD')</t>
        </is>
      </c>
      <c r="D62" s="12" t="inlineStr">
        <is>
          <t>Verified</t>
        </is>
      </c>
      <c r="E62" s="18">
        <f>_xlfn.IFNA(FDS(E$7,"FE_ESTIMATE(NETCHARGE_LOANNET,MEAN,ANN_ROLL,"&amp;$C$4&amp;",NOW,,,'CURRENCY=USD')"),"-")</f>
        <v/>
      </c>
      <c r="F62" s="18">
        <f>_xlfn.IFNA(FDS(F$7,"FE_ESTIMATE(NETCHARGE_LOANNET,MEAN,ANN_ROLL,"&amp;$C$4&amp;",NOW,,,'CURRENCY=USD')"),"-")</f>
        <v/>
      </c>
      <c r="G62" s="18">
        <f>_xlfn.IFNA(FDS(G$7,"FE_ESTIMATE(NETCHARGE_LOANNET,MEAN,ANN_ROLL,"&amp;$C$4&amp;",NOW,,,'CURRENCY=USD')"),"-")</f>
        <v/>
      </c>
      <c r="H62" s="18">
        <f>_xlfn.IFNA(FDS(H$7,"FE_ESTIMATE(NETCHARGE_LOANNET,MEAN,ANN_ROLL,"&amp;$C$4&amp;",NOW,,,'CURRENCY=USD')"),"-")</f>
        <v/>
      </c>
      <c r="I62" s="18">
        <f>_xlfn.IFNA(FDS(I$7,"FE_ESTIMATE(NETCHARGE_LOANNET,MEAN,ANN_ROLL,"&amp;$C$4&amp;",NOW,,,'CURRENCY=USD')"),"-")</f>
        <v/>
      </c>
    </row>
    <row r="63">
      <c r="A63" s="6" t="inlineStr"/>
      <c r="B63" s="2" t="inlineStr">
        <is>
          <t>Loan-loss provision ($M)</t>
        </is>
      </c>
      <c r="C63" s="11" t="inlineStr">
        <is>
          <t>FE_ESTIMATE(LOAN_PROV,MEAN,ANN_ROLL,{f2},NOW,,,'CURRENCY=USD')</t>
        </is>
      </c>
      <c r="D63" s="12" t="inlineStr">
        <is>
          <t>Verified</t>
        </is>
      </c>
      <c r="E63" s="17">
        <f>_xlfn.IFNA(FDS(E$7,"FE_ESTIMATE(LOAN_PROV,MEAN,ANN_ROLL,"&amp;$C$4&amp;",NOW,,,'CURRENCY=USD')"),"-")</f>
        <v/>
      </c>
      <c r="F63" s="17">
        <f>_xlfn.IFNA(FDS(F$7,"FE_ESTIMATE(LOAN_PROV,MEAN,ANN_ROLL,"&amp;$C$4&amp;",NOW,,,'CURRENCY=USD')"),"-")</f>
        <v/>
      </c>
      <c r="G63" s="17">
        <f>_xlfn.IFNA(FDS(G$7,"FE_ESTIMATE(LOAN_PROV,MEAN,ANN_ROLL,"&amp;$C$4&amp;",NOW,,,'CURRENCY=USD')"),"-")</f>
        <v/>
      </c>
      <c r="H63" s="17">
        <f>_xlfn.IFNA(FDS(H$7,"FE_ESTIMATE(LOAN_PROV,MEAN,ANN_ROLL,"&amp;$C$4&amp;",NOW,,,'CURRENCY=USD')"),"-")</f>
        <v/>
      </c>
      <c r="I63" s="17">
        <f>_xlfn.IFNA(FDS(I$7,"FE_ESTIMATE(LOAN_PROV,MEAN,ANN_ROLL,"&amp;$C$4&amp;",NOW,,,'CURRENCY=USD')"),"-")</f>
        <v/>
      </c>
    </row>
    <row r="64">
      <c r="A64" s="6" t="inlineStr"/>
      <c r="B64" s="2" t="inlineStr">
        <is>
          <t>DPS ($)</t>
        </is>
      </c>
      <c r="C64" s="11" t="inlineStr">
        <is>
          <t>FE_ESTIMATE(NETDIV,MEAN,ANN_ROLL,{f2},NOW,,,'CURRENCY=USD')</t>
        </is>
      </c>
      <c r="D64" s="12" t="inlineStr">
        <is>
          <t>Verified</t>
        </is>
      </c>
      <c r="E64" s="19">
        <f>_xlfn.IFNA(FDS(E$7,"FE_ESTIMATE(NETDIV,MEAN,ANN_ROLL,"&amp;$C$4&amp;",NOW,,,'CURRENCY=USD')"),"-")</f>
        <v/>
      </c>
      <c r="F64" s="19">
        <f>_xlfn.IFNA(FDS(F$7,"FE_ESTIMATE(NETDIV,MEAN,ANN_ROLL,"&amp;$C$4&amp;",NOW,,,'CURRENCY=USD')"),"-")</f>
        <v/>
      </c>
      <c r="G64" s="19">
        <f>_xlfn.IFNA(FDS(G$7,"FE_ESTIMATE(NETDIV,MEAN,ANN_ROLL,"&amp;$C$4&amp;",NOW,,,'CURRENCY=USD')"),"-")</f>
        <v/>
      </c>
      <c r="H64" s="19">
        <f>_xlfn.IFNA(FDS(H$7,"FE_ESTIMATE(NETDIV,MEAN,ANN_ROLL,"&amp;$C$4&amp;",NOW,,,'CURRENCY=USD')"),"-")</f>
        <v/>
      </c>
      <c r="I64" s="19">
        <f>_xlfn.IFNA(FDS(I$7,"FE_ESTIMATE(NETDIV,MEAN,ANN_ROLL,"&amp;$C$4&amp;",NOW,,,'CURRENCY=USD')"),"-")</f>
        <v/>
      </c>
    </row>
    <row r="65">
      <c r="A65" s="6" t="inlineStr"/>
      <c r="B65" s="2" t="inlineStr">
        <is>
          <t>TBVPS ($)</t>
        </is>
      </c>
      <c r="C65" s="11" t="inlineStr">
        <is>
          <t>FE_ESTIMATE(BPS_TANG,MEAN,ANN_ROLL,{f2},NOW,,,'CURRENCY=USD')</t>
        </is>
      </c>
      <c r="D65" s="12" t="inlineStr">
        <is>
          <t>Verified</t>
        </is>
      </c>
      <c r="E65" s="19">
        <f>_xlfn.IFNA(FDS(E$7,"FE_ESTIMATE(BPS_TANG,MEAN,ANN_ROLL,"&amp;$C$4&amp;",NOW,,,'CURRENCY=USD')"),"-")</f>
        <v/>
      </c>
      <c r="F65" s="19">
        <f>_xlfn.IFNA(FDS(F$7,"FE_ESTIMATE(BPS_TANG,MEAN,ANN_ROLL,"&amp;$C$4&amp;",NOW,,,'CURRENCY=USD')"),"-")</f>
        <v/>
      </c>
      <c r="G65" s="19">
        <f>_xlfn.IFNA(FDS(G$7,"FE_ESTIMATE(BPS_TANG,MEAN,ANN_ROLL,"&amp;$C$4&amp;",NOW,,,'CURRENCY=USD')"),"-")</f>
        <v/>
      </c>
      <c r="H65" s="19">
        <f>_xlfn.IFNA(FDS(H$7,"FE_ESTIMATE(BPS_TANG,MEAN,ANN_ROLL,"&amp;$C$4&amp;",NOW,,,'CURRENCY=USD')"),"-")</f>
        <v/>
      </c>
      <c r="I65" s="19">
        <f>_xlfn.IFNA(FDS(I$7,"FE_ESTIMATE(BPS_TANG,MEAN,ANN_ROLL,"&amp;$C$4&amp;",NOW,,,'CURRENCY=USD')"),"-")</f>
        <v/>
      </c>
    </row>
    <row r="66">
      <c r="A66" s="14" t="inlineStr">
        <is>
          <t>Next fiscal year valuation (FE_VALUATION)</t>
        </is>
      </c>
      <c r="B66" s="14" t="n"/>
      <c r="C66" s="14" t="n"/>
      <c r="D66" s="14" t="n"/>
      <c r="E66" s="14" t="n"/>
      <c r="F66" s="14" t="n"/>
      <c r="G66" s="14" t="n"/>
      <c r="H66" s="14" t="n"/>
      <c r="I66" s="14" t="n"/>
    </row>
    <row r="67">
      <c r="A67" s="6" t="inlineStr"/>
      <c r="B67" s="2" t="inlineStr">
        <is>
          <t>P/E</t>
        </is>
      </c>
      <c r="C67" s="11" t="inlineStr">
        <is>
          <t>FE_VALUATION(PE,MEAN,ANN_ROLL,+1,0,,,'')</t>
        </is>
      </c>
      <c r="D67" s="12" t="inlineStr">
        <is>
          <t>Verified</t>
        </is>
      </c>
      <c r="E67" s="15">
        <f>_xlfn.IFNA(FDS(E$7,"FE_VALUATION(PE,MEAN,ANN_ROLL,+1,0,,,'')"),"-")</f>
        <v/>
      </c>
      <c r="F67" s="15">
        <f>_xlfn.IFNA(FDS(F$7,"FE_VALUATION(PE,MEAN,ANN_ROLL,+1,0,,,'')"),"-")</f>
        <v/>
      </c>
      <c r="G67" s="15">
        <f>_xlfn.IFNA(FDS(G$7,"FE_VALUATION(PE,MEAN,ANN_ROLL,+1,0,,,'')"),"-")</f>
        <v/>
      </c>
      <c r="H67" s="15">
        <f>_xlfn.IFNA(FDS(H$7,"FE_VALUATION(PE,MEAN,ANN_ROLL,+1,0,,,'')"),"-")</f>
        <v/>
      </c>
      <c r="I67" s="15">
        <f>_xlfn.IFNA(FDS(I$7,"FE_VALUATION(PE,MEAN,ANN_ROLL,+1,0,,,'')"),"-")</f>
        <v/>
      </c>
    </row>
    <row r="68">
      <c r="A68" s="6" t="inlineStr"/>
      <c r="B68" s="2" t="inlineStr">
        <is>
          <t>P/B</t>
        </is>
      </c>
      <c r="C68" s="11" t="inlineStr">
        <is>
          <t>FE_VALUATION(PBPS,MEAN,ANN_ROLL,+1,0,,,'')</t>
        </is>
      </c>
      <c r="D68" s="12" t="inlineStr">
        <is>
          <t>Verified</t>
        </is>
      </c>
      <c r="E68" s="16">
        <f>_xlfn.IFNA(FDS(E$7,"FE_VALUATION(PBPS,MEAN,ANN_ROLL,+1,0,,,'')"),"-")</f>
        <v/>
      </c>
      <c r="F68" s="16">
        <f>_xlfn.IFNA(FDS(F$7,"FE_VALUATION(PBPS,MEAN,ANN_ROLL,+1,0,,,'')"),"-")</f>
        <v/>
      </c>
      <c r="G68" s="16">
        <f>_xlfn.IFNA(FDS(G$7,"FE_VALUATION(PBPS,MEAN,ANN_ROLL,+1,0,,,'')"),"-")</f>
        <v/>
      </c>
      <c r="H68" s="16">
        <f>_xlfn.IFNA(FDS(H$7,"FE_VALUATION(PBPS,MEAN,ANN_ROLL,+1,0,,,'')"),"-")</f>
        <v/>
      </c>
      <c r="I68" s="16">
        <f>_xlfn.IFNA(FDS(I$7,"FE_VALUATION(PBPS,MEAN,ANN_ROLL,+1,0,,,'')"),"-")</f>
        <v/>
      </c>
    </row>
    <row r="69">
      <c r="A69" s="6" t="inlineStr"/>
      <c r="B69" s="2" t="inlineStr">
        <is>
          <t>P/TBV</t>
        </is>
      </c>
      <c r="C69" s="11" t="inlineStr">
        <is>
          <t>FE_VALUATION(P_TBPS,MEAN,ANN_ROLL,+1,0,,,'')</t>
        </is>
      </c>
      <c r="D69" s="12" t="inlineStr">
        <is>
          <t>Verified</t>
        </is>
      </c>
      <c r="E69" s="16">
        <f>_xlfn.IFNA(FDS(E$7,"FE_VALUATION(P_TBPS,MEAN,ANN_ROLL,+1,0,,,'')"),"-")</f>
        <v/>
      </c>
      <c r="F69" s="16">
        <f>_xlfn.IFNA(FDS(F$7,"FE_VALUATION(P_TBPS,MEAN,ANN_ROLL,+1,0,,,'')"),"-")</f>
        <v/>
      </c>
      <c r="G69" s="16">
        <f>_xlfn.IFNA(FDS(G$7,"FE_VALUATION(P_TBPS,MEAN,ANN_ROLL,+1,0,,,'')"),"-")</f>
        <v/>
      </c>
      <c r="H69" s="16">
        <f>_xlfn.IFNA(FDS(H$7,"FE_VALUATION(P_TBPS,MEAN,ANN_ROLL,+1,0,,,'')"),"-")</f>
        <v/>
      </c>
      <c r="I69" s="16">
        <f>_xlfn.IFNA(FDS(I$7,"FE_VALUATION(P_TBPS,MEAN,ANN_ROLL,+1,0,,,'')"),"-")</f>
        <v/>
      </c>
    </row>
    <row r="70">
      <c r="A70" s="6" t="inlineStr"/>
      <c r="B70" s="2" t="inlineStr">
        <is>
          <t>Dividend yield (%)</t>
        </is>
      </c>
      <c r="C70" s="11" t="inlineStr">
        <is>
          <t>FE_VALUATION(DIV_YLD,MEAN,ANN_ROLL,+1,0,,,'')</t>
        </is>
      </c>
      <c r="D70" s="12" t="inlineStr">
        <is>
          <t>Verified</t>
        </is>
      </c>
      <c r="E70" s="18">
        <f>_xlfn.IFNA(FDS(E$7,"FE_VALUATION(DIV_YLD,MEAN,ANN_ROLL,+1,0,,,'')"),"-")</f>
        <v/>
      </c>
      <c r="F70" s="18">
        <f>_xlfn.IFNA(FDS(F$7,"FE_VALUATION(DIV_YLD,MEAN,ANN_ROLL,+1,0,,,'')"),"-")</f>
        <v/>
      </c>
      <c r="G70" s="18">
        <f>_xlfn.IFNA(FDS(G$7,"FE_VALUATION(DIV_YLD,MEAN,ANN_ROLL,+1,0,,,'')"),"-")</f>
        <v/>
      </c>
      <c r="H70" s="18">
        <f>_xlfn.IFNA(FDS(H$7,"FE_VALUATION(DIV_YLD,MEAN,ANN_ROLL,+1,0,,,'')"),"-")</f>
        <v/>
      </c>
      <c r="I70" s="18">
        <f>_xlfn.IFNA(FDS(I$7,"FE_VALUATION(DIV_YLD,MEAN,ANN_ROLL,+1,0,,,'')"),"-")</f>
        <v/>
      </c>
    </row>
    <row r="71">
      <c r="A71" s="14" t="inlineStr">
        <is>
          <t>Next quarter</t>
        </is>
      </c>
      <c r="B71" s="14" t="n"/>
      <c r="C71" s="14" t="n"/>
      <c r="D71" s="14" t="n"/>
      <c r="E71" s="14" t="n"/>
      <c r="F71" s="14" t="n"/>
      <c r="G71" s="14" t="n"/>
      <c r="H71" s="14" t="n"/>
      <c r="I71" s="14" t="n"/>
    </row>
    <row r="72">
      <c r="A72" s="6" t="inlineStr"/>
      <c r="B72" s="2" t="inlineStr">
        <is>
          <t>EPS - next quarter ($)</t>
        </is>
      </c>
      <c r="C72" s="11" t="inlineStr">
        <is>
          <t>FE_ESTIMATE(EPS,MEAN,QTR_ROLL,+1,0,,,'')</t>
        </is>
      </c>
      <c r="D72" s="12" t="inlineStr">
        <is>
          <t>Verified</t>
        </is>
      </c>
      <c r="E72" s="19">
        <f>_xlfn.IFNA(FDS(E$7,"FE_ESTIMATE(EPS,MEAN,QTR_ROLL,+1,0,,,'')"),"-")</f>
        <v/>
      </c>
      <c r="F72" s="19">
        <f>_xlfn.IFNA(FDS(F$7,"FE_ESTIMATE(EPS,MEAN,QTR_ROLL,+1,0,,,'')"),"-")</f>
        <v/>
      </c>
      <c r="G72" s="19">
        <f>_xlfn.IFNA(FDS(G$7,"FE_ESTIMATE(EPS,MEAN,QTR_ROLL,+1,0,,,'')"),"-")</f>
        <v/>
      </c>
      <c r="H72" s="19">
        <f>_xlfn.IFNA(FDS(H$7,"FE_ESTIMATE(EPS,MEAN,QTR_ROLL,+1,0,,,'')"),"-")</f>
        <v/>
      </c>
      <c r="I72" s="19">
        <f>_xlfn.IFNA(FDS(I$7,"FE_ESTIMATE(EPS,MEAN,QTR_ROLL,+1,0,,,'')"),"-")</f>
        <v/>
      </c>
    </row>
    <row r="73">
      <c r="A73" s="6" t="inlineStr"/>
      <c r="B73" s="2" t="inlineStr">
        <is>
          <t>Revenue - next quarter ($M)</t>
        </is>
      </c>
      <c r="C73" s="11" t="inlineStr">
        <is>
          <t>FE_ESTIMATE(SALES,MEAN,QTR_ROLL,+1,0,,,'')</t>
        </is>
      </c>
      <c r="D73" s="12" t="inlineStr">
        <is>
          <t>Verified</t>
        </is>
      </c>
      <c r="E73" s="17">
        <f>_xlfn.IFNA(FDS(E$7,"FE_ESTIMATE(SALES,MEAN,QTR_ROLL,+1,0,,,'')"),"-")</f>
        <v/>
      </c>
      <c r="F73" s="17">
        <f>_xlfn.IFNA(FDS(F$7,"FE_ESTIMATE(SALES,MEAN,QTR_ROLL,+1,0,,,'')"),"-")</f>
        <v/>
      </c>
      <c r="G73" s="17">
        <f>_xlfn.IFNA(FDS(G$7,"FE_ESTIMATE(SALES,MEAN,QTR_ROLL,+1,0,,,'')"),"-")</f>
        <v/>
      </c>
      <c r="H73" s="17">
        <f>_xlfn.IFNA(FDS(H$7,"FE_ESTIMATE(SALES,MEAN,QTR_ROLL,+1,0,,,'')"),"-")</f>
        <v/>
      </c>
      <c r="I73" s="17">
        <f>_xlfn.IFNA(FDS(I$7,"FE_ESTIMATE(SALES,MEAN,QTR_ROLL,+1,0,,,'')"),"-")</f>
        <v/>
      </c>
    </row>
    <row r="74">
      <c r="A74" s="6" t="inlineStr"/>
      <c r="B74" s="2" t="inlineStr">
        <is>
          <t>NIM - next quarter (%)</t>
        </is>
      </c>
      <c r="C74" s="11" t="inlineStr">
        <is>
          <t>FE_ESTIMATE(INT_INC_MARGIN,MEAN,QTR_ROLL,+1,0,,,'')</t>
        </is>
      </c>
      <c r="D74" s="12" t="inlineStr">
        <is>
          <t>Verified</t>
        </is>
      </c>
      <c r="E74" s="18">
        <f>_xlfn.IFNA(FDS(E$7,"FE_ESTIMATE(INT_INC_MARGIN,MEAN,QTR_ROLL,+1,0,,,'')"),"-")</f>
        <v/>
      </c>
      <c r="F74" s="18">
        <f>_xlfn.IFNA(FDS(F$7,"FE_ESTIMATE(INT_INC_MARGIN,MEAN,QTR_ROLL,+1,0,,,'')"),"-")</f>
        <v/>
      </c>
      <c r="G74" s="18">
        <f>_xlfn.IFNA(FDS(G$7,"FE_ESTIMATE(INT_INC_MARGIN,MEAN,QTR_ROLL,+1,0,,,'')"),"-")</f>
        <v/>
      </c>
      <c r="H74" s="18">
        <f>_xlfn.IFNA(FDS(H$7,"FE_ESTIMATE(INT_INC_MARGIN,MEAN,QTR_ROLL,+1,0,,,'')"),"-")</f>
        <v/>
      </c>
      <c r="I74" s="18">
        <f>_xlfn.IFNA(FDS(I$7,"FE_ESTIMATE(INT_INC_MARGIN,MEAN,QTR_ROLL,+1,0,,,'')"),"-")</f>
        <v/>
      </c>
    </row>
    <row r="75">
      <c r="A75" s="14" t="inlineStr">
        <is>
          <t>LTM actuals from the estimates database</t>
        </is>
      </c>
      <c r="B75" s="14" t="n"/>
      <c r="C75" s="14" t="n"/>
      <c r="D75" s="14" t="n"/>
      <c r="E75" s="14" t="n"/>
      <c r="F75" s="14" t="n"/>
      <c r="G75" s="14" t="n"/>
      <c r="H75" s="14" t="n"/>
      <c r="I75" s="14" t="n"/>
    </row>
    <row r="76">
      <c r="A76" s="6" t="inlineStr"/>
      <c r="B76" s="2" t="inlineStr">
        <is>
          <t>EPS - LTM actual ($)</t>
        </is>
      </c>
      <c r="C76" s="11" t="inlineStr">
        <is>
          <t>FE_ESTIMATE(EPS,MEAN,LTMA,,NOW,,,'CURRENCY=USD')</t>
        </is>
      </c>
      <c r="D76" s="12" t="inlineStr">
        <is>
          <t>Verified</t>
        </is>
      </c>
      <c r="E76" s="19">
        <f>_xlfn.IFNA(FDS(E$7,"FE_ESTIMATE(EPS,MEAN,LTMA,,NOW,,,'CURRENCY=USD')"),"-")</f>
        <v/>
      </c>
      <c r="F76" s="19">
        <f>_xlfn.IFNA(FDS(F$7,"FE_ESTIMATE(EPS,MEAN,LTMA,,NOW,,,'CURRENCY=USD')"),"-")</f>
        <v/>
      </c>
      <c r="G76" s="19">
        <f>_xlfn.IFNA(FDS(G$7,"FE_ESTIMATE(EPS,MEAN,LTMA,,NOW,,,'CURRENCY=USD')"),"-")</f>
        <v/>
      </c>
      <c r="H76" s="19">
        <f>_xlfn.IFNA(FDS(H$7,"FE_ESTIMATE(EPS,MEAN,LTMA,,NOW,,,'CURRENCY=USD')"),"-")</f>
        <v/>
      </c>
      <c r="I76" s="19">
        <f>_xlfn.IFNA(FDS(I$7,"FE_ESTIMATE(EPS,MEAN,LTMA,,NOW,,,'CURRENCY=USD')"),"-")</f>
        <v/>
      </c>
    </row>
    <row r="77">
      <c r="A77" s="6" t="inlineStr"/>
      <c r="B77" s="2" t="inlineStr">
        <is>
          <t>Revenue - LTM actual ($M)</t>
        </is>
      </c>
      <c r="C77" s="11" t="inlineStr">
        <is>
          <t>FE_ESTIMATE(SALES,MEAN,LTMA,,NOW,,,'CURRENCY=USD')</t>
        </is>
      </c>
      <c r="D77" s="12" t="inlineStr">
        <is>
          <t>Verified</t>
        </is>
      </c>
      <c r="E77" s="17">
        <f>_xlfn.IFNA(FDS(E$7,"FE_ESTIMATE(SALES,MEAN,LTMA,,NOW,,,'CURRENCY=USD')"),"-")</f>
        <v/>
      </c>
      <c r="F77" s="17">
        <f>_xlfn.IFNA(FDS(F$7,"FE_ESTIMATE(SALES,MEAN,LTMA,,NOW,,,'CURRENCY=USD')"),"-")</f>
        <v/>
      </c>
      <c r="G77" s="17">
        <f>_xlfn.IFNA(FDS(G$7,"FE_ESTIMATE(SALES,MEAN,LTMA,,NOW,,,'CURRENCY=USD')"),"-")</f>
        <v/>
      </c>
      <c r="H77" s="17">
        <f>_xlfn.IFNA(FDS(H$7,"FE_ESTIMATE(SALES,MEAN,LTMA,,NOW,,,'CURRENCY=USD')"),"-")</f>
        <v/>
      </c>
      <c r="I77" s="17">
        <f>_xlfn.IFNA(FDS(I$7,"FE_ESTIMATE(SALES,MEAN,LTMA,,NOW,,,'CURRENCY=USD')"),"-")</f>
        <v/>
      </c>
    </row>
    <row r="78">
      <c r="A78" s="6" t="inlineStr"/>
      <c r="B78" s="2" t="inlineStr">
        <is>
          <t>Loan-loss provision - LTM actual ($M)</t>
        </is>
      </c>
      <c r="C78" s="11" t="inlineStr">
        <is>
          <t>FE_ESTIMATE(LOAN_PROV,MEAN,LTMA,,NOW,,,'CURRENCY=USD')</t>
        </is>
      </c>
      <c r="D78" s="12" t="inlineStr">
        <is>
          <t>Verified</t>
        </is>
      </c>
      <c r="E78" s="17">
        <f>_xlfn.IFNA(FDS(E$7,"FE_ESTIMATE(LOAN_PROV,MEAN,LTMA,,NOW,,,'CURRENCY=USD')"),"-")</f>
        <v/>
      </c>
      <c r="F78" s="17">
        <f>_xlfn.IFNA(FDS(F$7,"FE_ESTIMATE(LOAN_PROV,MEAN,LTMA,,NOW,,,'CURRENCY=USD')"),"-")</f>
        <v/>
      </c>
      <c r="G78" s="17">
        <f>_xlfn.IFNA(FDS(G$7,"FE_ESTIMATE(LOAN_PROV,MEAN,LTMA,,NOW,,,'CURRENCY=USD')"),"-")</f>
        <v/>
      </c>
      <c r="H78" s="17">
        <f>_xlfn.IFNA(FDS(H$7,"FE_ESTIMATE(LOAN_PROV,MEAN,LTMA,,NOW,,,'CURRENCY=USD')"),"-")</f>
        <v/>
      </c>
      <c r="I78" s="17">
        <f>_xlfn.IFNA(FDS(I$7,"FE_ESTIMATE(LOAN_PROV,MEAN,LTMA,,NOW,,,'CURRENCY=USD')"),"-")</f>
        <v/>
      </c>
    </row>
  </sheetData>
  <conditionalFormatting sqref="E9:I79">
    <cfRule type="expression" priority="1" dxfId="0">
      <formula>IFERROR(E9="-",ISNA(E9))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0"/>
  <sheetViews>
    <sheetView topLeftCell="A1" zoomScale="9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40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5" t="inlineStr">
        <is>
          <t>Consensus time-series test - HBAN, 12 future quarters (FE_TIMESERIES spills)</t>
        </is>
      </c>
    </row>
    <row r="2">
      <c r="A2" s="6" t="inlineStr">
        <is>
          <t>Each row is ONE formula in column E that spills right across the 12 quarters - leave F:P empty. Start quarter = E5, end quarter = P5. Currency = as reported (USD for HBAN).</t>
        </is>
      </c>
    </row>
    <row r="3">
      <c r="B3" s="7" t="inlineStr">
        <is>
          <t>Ticker</t>
        </is>
      </c>
      <c r="C3" s="22" t="inlineStr">
        <is>
          <t>HBAN</t>
        </is>
      </c>
    </row>
    <row r="5">
      <c r="A5" s="9" t="inlineStr">
        <is>
          <t>Category</t>
        </is>
      </c>
      <c r="B5" s="9" t="inlineStr">
        <is>
          <t>Metric</t>
        </is>
      </c>
      <c r="C5" s="9" t="inlineStr">
        <is>
          <t>FE item</t>
        </is>
      </c>
      <c r="D5" s="9" t="inlineStr">
        <is>
          <t>Catalog status</t>
        </is>
      </c>
      <c r="E5" s="10" t="inlineStr">
        <is>
          <t>2026/3F</t>
        </is>
      </c>
      <c r="F5" s="10" t="inlineStr">
        <is>
          <t>2026/4F</t>
        </is>
      </c>
      <c r="G5" s="10" t="inlineStr">
        <is>
          <t>2027/1F</t>
        </is>
      </c>
      <c r="H5" s="10" t="inlineStr">
        <is>
          <t>2027/2F</t>
        </is>
      </c>
      <c r="I5" s="10" t="inlineStr">
        <is>
          <t>2027/3F</t>
        </is>
      </c>
      <c r="J5" s="10" t="inlineStr">
        <is>
          <t>2027/4F</t>
        </is>
      </c>
      <c r="K5" s="10" t="inlineStr">
        <is>
          <t>2028/1F</t>
        </is>
      </c>
      <c r="L5" s="10" t="inlineStr">
        <is>
          <t>2028/2F</t>
        </is>
      </c>
      <c r="M5" s="10" t="inlineStr">
        <is>
          <t>2028/3F</t>
        </is>
      </c>
      <c r="N5" s="10" t="inlineStr">
        <is>
          <t>2028/4F</t>
        </is>
      </c>
      <c r="O5" s="10" t="inlineStr">
        <is>
          <t>2029/1F</t>
        </is>
      </c>
      <c r="P5" s="10" t="inlineStr">
        <is>
          <t>2029/2F</t>
        </is>
      </c>
    </row>
    <row r="7">
      <c r="A7" s="14" t="inlineStr">
        <is>
          <t>Valuation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</row>
    <row r="8">
      <c r="A8" s="6" t="inlineStr"/>
      <c r="B8" s="2" t="inlineStr">
        <is>
          <t>P/E</t>
        </is>
      </c>
      <c r="C8" s="11" t="inlineStr">
        <is>
          <t>FE_TIMESERIES_VALUATION(PE)</t>
        </is>
      </c>
      <c r="D8" s="12" t="inlineStr">
        <is>
          <t>Verified</t>
        </is>
      </c>
      <c r="E8" s="15">
        <f>FDSRC("-",$C$3,"FE_TIMESERIES_VALUATION(PE,MEAN,"&amp;$E$5&amp;","&amp;$P$5&amp;",FQ,'BKRACTMED=1,WIN=0,UNITS=AUTO,DATE=NOW,CALC=LTMA')")</f>
        <v/>
      </c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</row>
    <row r="9">
      <c r="A9" s="6" t="inlineStr"/>
      <c r="B9" s="2" t="inlineStr">
        <is>
          <t>P/B</t>
        </is>
      </c>
      <c r="C9" s="11" t="inlineStr">
        <is>
          <t>FE_TIMESERIES_VALUATION(PBPS)</t>
        </is>
      </c>
      <c r="D9" s="12" t="inlineStr">
        <is>
          <t>Verified</t>
        </is>
      </c>
      <c r="E9" s="16">
        <f>FDSRC("-",$C$3,"FE_TIMESERIES_VALUATION(PBPS,MEAN,"&amp;$E$5&amp;","&amp;$P$5&amp;",FQ,'BKRACTMED=1,WIN=0,UNITS=AUTO,DATE=NOW,CALC=LTMA')")</f>
        <v/>
      </c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</row>
    <row r="10">
      <c r="A10" s="6" t="inlineStr"/>
      <c r="B10" s="2" t="inlineStr">
        <is>
          <t>P/TBV</t>
        </is>
      </c>
      <c r="C10" s="11" t="inlineStr">
        <is>
          <t>FE_TIMESERIES_VALUATION(P_TBPS)</t>
        </is>
      </c>
      <c r="D10" s="12" t="inlineStr">
        <is>
          <t>Verified</t>
        </is>
      </c>
      <c r="E10" s="16">
        <f>FDSRC("-",$C$3,"FE_TIMESERIES_VALUATION(P_TBPS,MEAN,"&amp;$E$5&amp;","&amp;$P$5&amp;",FQ,'BKRACTMED=1,WIN=0,UNITS=AUTO,DATE=NOW,CALC=LTMA')")</f>
        <v/>
      </c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</row>
    <row r="11">
      <c r="A11" s="6" t="inlineStr"/>
      <c r="B11" s="2" t="inlineStr">
        <is>
          <t>Dividend yield (%)</t>
        </is>
      </c>
      <c r="C11" s="11" t="inlineStr">
        <is>
          <t>FE_TIMESERIES_VALUATION(DIV_YLD)</t>
        </is>
      </c>
      <c r="D11" s="12" t="inlineStr">
        <is>
          <t>Verified</t>
        </is>
      </c>
      <c r="E11" s="18">
        <f>FDSRC("-",$C$3,"FE_TIMESERIES_VALUATION(DIV_YLD,MEAN,"&amp;$E$5&amp;","&amp;$P$5&amp;",FQ,'BKRACTMED=1,WIN=0,UNITS=AUTO,DATE=NOW,CALC=LTMA')")</f>
        <v/>
      </c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</row>
    <row r="12">
      <c r="A12" s="14" t="inlineStr">
        <is>
          <t>Profitability</t>
        </is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</row>
    <row r="13">
      <c r="A13" s="6" t="inlineStr"/>
      <c r="B13" s="2" t="inlineStr">
        <is>
          <t>ROTCE (%)</t>
        </is>
      </c>
      <c r="C13" s="11" t="inlineStr">
        <is>
          <t>FE_TIMESERIES(ROTE)</t>
        </is>
      </c>
      <c r="D13" s="12" t="inlineStr">
        <is>
          <t>Verified</t>
        </is>
      </c>
      <c r="E13" s="18">
        <f>FDSRC("-",$C$3,"FE_TIMESERIES(ROTE,MEAN,"&amp;$E$5&amp;","&amp;$P$5&amp;",FQ,'BKRACTMED=1,WIN=0,CURRENCY=RPT,UNITS=AUTO,DATE=NOW')")</f>
        <v/>
      </c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</row>
    <row r="14">
      <c r="A14" s="6" t="inlineStr"/>
      <c r="B14" s="2" t="inlineStr">
        <is>
          <t>ROE (%)</t>
        </is>
      </c>
      <c r="C14" s="11" t="inlineStr">
        <is>
          <t>FE_TIMESERIES_VALUATION(ROE)</t>
        </is>
      </c>
      <c r="D14" s="12" t="inlineStr">
        <is>
          <t>Verified</t>
        </is>
      </c>
      <c r="E14" s="18">
        <f>FDSRC("-",$C$3,"FE_TIMESERIES_VALUATION(ROE,MEAN,"&amp;$E$5&amp;","&amp;$P$5&amp;",FQ,'BKRACTMED=1,WIN=0,UNITS=AUTO,DATE=NOW,CALC=LTMA')")</f>
        <v/>
      </c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</row>
    <row r="15">
      <c r="A15" s="6" t="inlineStr"/>
      <c r="B15" s="2" t="inlineStr">
        <is>
          <t>ROA (%)</t>
        </is>
      </c>
      <c r="C15" s="11" t="inlineStr">
        <is>
          <t>FE_TIMESERIES_VALUATION(ROA)</t>
        </is>
      </c>
      <c r="D15" s="12" t="inlineStr">
        <is>
          <t>Verified</t>
        </is>
      </c>
      <c r="E15" s="18">
        <f>FDSRC("-",$C$3,"FE_TIMESERIES_VALUATION(ROA,MEAN,"&amp;$E$5&amp;","&amp;$P$5&amp;",FQ,'BKRACTMED=1,WIN=0,UNITS=AUTO,DATE=NOW,CALC=LTMA')")</f>
        <v/>
      </c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</row>
    <row r="16">
      <c r="A16" s="6" t="inlineStr"/>
      <c r="B16" s="2" t="inlineStr">
        <is>
          <t>EPS ($)</t>
        </is>
      </c>
      <c r="C16" s="11" t="inlineStr">
        <is>
          <t>FE_TIMESERIES(EPS)</t>
        </is>
      </c>
      <c r="D16" s="12" t="inlineStr">
        <is>
          <t>Verified</t>
        </is>
      </c>
      <c r="E16" s="19">
        <f>FDSRC("-",$C$3,"FE_TIMESERIES(EPS,MEAN,"&amp;$E$5&amp;","&amp;$P$5&amp;",FQ,'BKRACTMED=1,WIN=0,CURRENCY=RPT,UNITS=AUTO,DATE=NOW')")</f>
        <v/>
      </c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</row>
    <row r="17">
      <c r="A17" s="6" t="inlineStr"/>
      <c r="B17" s="2" t="inlineStr">
        <is>
          <t>EPS - custom ($)</t>
        </is>
      </c>
      <c r="C17" s="11" t="inlineStr">
        <is>
          <t>FE_TIMESERIES(CUSTOM_EPS)</t>
        </is>
      </c>
      <c r="D17" s="12" t="inlineStr">
        <is>
          <t>Verified</t>
        </is>
      </c>
      <c r="E17" s="19">
        <f>FDSRC("-",$C$3,"FE_TIMESERIES(CUSTOM_EPS,MEAN,"&amp;$E$5&amp;","&amp;$P$5&amp;",FQ,'BKRACTMED=1,WIN=0,CURRENCY=RPT,UNITS=AUTO,DATE=NOW')")</f>
        <v/>
      </c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</row>
    <row r="18">
      <c r="A18" s="6" t="inlineStr"/>
      <c r="B18" s="2" t="inlineStr">
        <is>
          <t>Net income ($M)</t>
        </is>
      </c>
      <c r="C18" s="11" t="inlineStr">
        <is>
          <t>FE_TIMESERIES(NETPROFIT)</t>
        </is>
      </c>
      <c r="D18" s="12" t="inlineStr">
        <is>
          <t>Verified</t>
        </is>
      </c>
      <c r="E18" s="17">
        <f>FDSRC("-",$C$3,"FE_TIMESERIES(NETPROFIT,MEAN,"&amp;$E$5&amp;","&amp;$P$5&amp;",FQ,'BKRACTMED=1,WIN=0,CURRENCY=RPT,UNITS=AUTO,DATE=NOW')")</f>
        <v/>
      </c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</row>
    <row r="19">
      <c r="A19" s="6" t="inlineStr"/>
      <c r="B19" s="2" t="inlineStr">
        <is>
          <t>PPNR ($M)</t>
        </is>
      </c>
      <c r="C19" s="11" t="inlineStr">
        <is>
          <t>FE_TIMESERIES(EBIT_ADJ)</t>
        </is>
      </c>
      <c r="D19" s="12" t="inlineStr">
        <is>
          <t>Verified</t>
        </is>
      </c>
      <c r="E19" s="17">
        <f>FDSRC("-",$C$3,"FE_TIMESERIES(EBIT_ADJ,MEAN,"&amp;$E$5&amp;","&amp;$P$5&amp;",FQ,'BKRACTMED=1,WIN=0,CURRENCY=RPT,UNITS=AUTO,DATE=NOW')")</f>
        <v/>
      </c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</row>
    <row r="20">
      <c r="A20" s="14" t="inlineStr">
        <is>
          <t>Revenue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</row>
    <row r="21">
      <c r="A21" s="6" t="inlineStr"/>
      <c r="B21" s="2" t="inlineStr">
        <is>
          <t>Net interest income ($M)</t>
        </is>
      </c>
      <c r="C21" s="11" t="inlineStr">
        <is>
          <t>FE_TIMESERIES(NETINTERESTINC)</t>
        </is>
      </c>
      <c r="D21" s="12" t="inlineStr">
        <is>
          <t>Verified</t>
        </is>
      </c>
      <c r="E21" s="17">
        <f>FDSRC("-",$C$3,"FE_TIMESERIES(NETINTERESTINC,MEAN,"&amp;$E$5&amp;","&amp;$P$5&amp;",FQ,'BKRACTMED=1,WIN=0,CURRENCY=RPT,UNITS=AUTO,DATE=NOW')")</f>
        <v/>
      </c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</row>
    <row r="22">
      <c r="A22" s="6" t="inlineStr"/>
      <c r="B22" s="2" t="inlineStr">
        <is>
          <t>Non-interest income ($M)</t>
        </is>
      </c>
      <c r="C22" s="11" t="inlineStr">
        <is>
          <t>FE_TIMESERIES(NON_INT_INC)</t>
        </is>
      </c>
      <c r="D22" s="12" t="inlineStr">
        <is>
          <t>Verified</t>
        </is>
      </c>
      <c r="E22" s="17">
        <f>FDSRC("-",$C$3,"FE_TIMESERIES(NON_INT_INC,MEAN,"&amp;$E$5&amp;","&amp;$P$5&amp;",FQ,'BKRACTMED=1,WIN=0,CURRENCY=RPT,UNITS=AUTO,DATE=NOW')")</f>
        <v/>
      </c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</row>
    <row r="23">
      <c r="A23" s="6" t="inlineStr"/>
      <c r="B23" s="2" t="inlineStr">
        <is>
          <t>Revenue ($M)</t>
        </is>
      </c>
      <c r="C23" s="11" t="inlineStr">
        <is>
          <t>FE_TIMESERIES(SALES)</t>
        </is>
      </c>
      <c r="D23" s="12" t="inlineStr">
        <is>
          <t>Verified</t>
        </is>
      </c>
      <c r="E23" s="17">
        <f>FDSRC("-",$C$3,"FE_TIMESERIES(SALES,MEAN,"&amp;$E$5&amp;","&amp;$P$5&amp;",FQ,'BKRACTMED=1,WIN=0,CURRENCY=RPT,UNITS=AUTO,DATE=NOW')")</f>
        <v/>
      </c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</row>
    <row r="24">
      <c r="A24" s="6" t="inlineStr"/>
      <c r="B24" s="2" t="inlineStr">
        <is>
          <t>Fee income ($M)</t>
        </is>
      </c>
      <c r="C24" s="11" t="inlineStr">
        <is>
          <t>FE_TIMESERIES(INCFEESCOM)</t>
        </is>
      </c>
      <c r="D24" s="12" t="inlineStr">
        <is>
          <t>Verified</t>
        </is>
      </c>
      <c r="E24" s="17">
        <f>FDSRC("-",$C$3,"FE_TIMESERIES(INCFEESCOM,MEAN,"&amp;$E$5&amp;","&amp;$P$5&amp;",FQ,'BKRACTMED=1,WIN=0,CURRENCY=RPT,UNITS=AUTO,DATE=NOW')")</f>
        <v/>
      </c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</row>
    <row r="25">
      <c r="A25" s="14" t="inlineStr">
        <is>
          <t>Efficiency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</row>
    <row r="26">
      <c r="A26" s="6" t="inlineStr"/>
      <c r="B26" s="2" t="inlineStr">
        <is>
          <t>Efficiency ratio (%)</t>
        </is>
      </c>
      <c r="C26" s="11" t="inlineStr">
        <is>
          <t>FE_TIMESERIES(COST_INCOME)</t>
        </is>
      </c>
      <c r="D26" s="12" t="inlineStr">
        <is>
          <t>Verified</t>
        </is>
      </c>
      <c r="E26" s="18">
        <f>FDSRC("-",$C$3,"FE_TIMESERIES(COST_INCOME,MEAN,"&amp;$E$5&amp;","&amp;$P$5&amp;",FQ,'BKRACTMED=1,WIN=0,CURRENCY=RPT,UNITS=AUTO,DATE=NOW')")</f>
        <v/>
      </c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</row>
    <row r="27">
      <c r="A27" s="6" t="inlineStr"/>
      <c r="B27" s="2" t="inlineStr">
        <is>
          <t>Non-interest expense ($M)</t>
        </is>
      </c>
      <c r="C27" s="11" t="inlineStr">
        <is>
          <t>FE_TIMESERIES(OPEREXPEN)</t>
        </is>
      </c>
      <c r="D27" s="12" t="inlineStr">
        <is>
          <t>Verified</t>
        </is>
      </c>
      <c r="E27" s="17">
        <f>FDSRC("-",$C$3,"FE_TIMESERIES(OPEREXPEN,MEAN,"&amp;$E$5&amp;","&amp;$P$5&amp;",FQ,'BKRACTMED=1,WIN=0,CURRENCY=RPT,UNITS=AUTO,DATE=NOW')")</f>
        <v/>
      </c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</row>
    <row r="28">
      <c r="A28" s="6" t="inlineStr"/>
      <c r="B28" s="2" t="inlineStr">
        <is>
          <t>Personnel expense ($M)</t>
        </is>
      </c>
      <c r="C28" s="11" t="inlineStr">
        <is>
          <t>FE_TIMESERIES(SAL_BENEFITS)</t>
        </is>
      </c>
      <c r="D28" s="12" t="inlineStr">
        <is>
          <t>Verified</t>
        </is>
      </c>
      <c r="E28" s="17">
        <f>FDSRC("-",$C$3,"FE_TIMESERIES(SAL_BENEFITS,MEAN,"&amp;$E$5&amp;","&amp;$P$5&amp;",FQ,'BKRACTMED=1,WIN=0,CURRENCY=RPT,UNITS=AUTO,DATE=NOW')")</f>
        <v/>
      </c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</row>
    <row r="29">
      <c r="A29" s="14" t="inlineStr">
        <is>
          <t>NIM</t>
        </is>
      </c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</row>
    <row r="30">
      <c r="A30" s="6" t="inlineStr"/>
      <c r="B30" s="2" t="inlineStr">
        <is>
          <t>NIM (%)</t>
        </is>
      </c>
      <c r="C30" s="11" t="inlineStr">
        <is>
          <t>FE_TIMESERIES(INT_INC_MARGIN)</t>
        </is>
      </c>
      <c r="D30" s="12" t="inlineStr">
        <is>
          <t>Verified</t>
        </is>
      </c>
      <c r="E30" s="18">
        <f>FDSRC("-",$C$3,"FE_TIMESERIES(INT_INC_MARGIN,MEAN,"&amp;$E$5&amp;","&amp;$P$5&amp;",FQ,'BKRACTMED=1,WIN=0,CURRENCY=RPT,UNITS=AUTO,DATE=NOW')")</f>
        <v/>
      </c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</row>
    <row r="31">
      <c r="A31" s="14" t="inlineStr">
        <is>
          <t>Balance sheet</t>
        </is>
      </c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</row>
    <row r="32">
      <c r="A32" s="6" t="inlineStr"/>
      <c r="B32" s="2" t="inlineStr">
        <is>
          <t>Total assets ($M)</t>
        </is>
      </c>
      <c r="C32" s="11" t="inlineStr">
        <is>
          <t>FE_TIMESERIES(TOTASSET)</t>
        </is>
      </c>
      <c r="D32" s="12" t="inlineStr">
        <is>
          <t>Verified</t>
        </is>
      </c>
      <c r="E32" s="17">
        <f>FDSRC("-",$C$3,"FE_TIMESERIES(TOTASSET,MEAN,"&amp;$E$5&amp;","&amp;$P$5&amp;",FQ,'BKRACTMED=1,WIN=0,CURRENCY=RPT,UNITS=AUTO,DATE=NOW')")</f>
        <v/>
      </c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</row>
    <row r="33">
      <c r="A33" s="6" t="inlineStr"/>
      <c r="B33" s="2" t="inlineStr">
        <is>
          <t>Avg earning assets ($M)</t>
        </is>
      </c>
      <c r="C33" s="11" t="inlineStr">
        <is>
          <t>FE_TIMESERIES(AVG_EARN_ASSETS)</t>
        </is>
      </c>
      <c r="D33" s="12" t="inlineStr">
        <is>
          <t>Verified</t>
        </is>
      </c>
      <c r="E33" s="17">
        <f>FDSRC("-",$C$3,"FE_TIMESERIES(AVG_EARN_ASSETS,MEAN,"&amp;$E$5&amp;","&amp;$P$5&amp;",FQ,'BKRACTMED=1,WIN=0,CURRENCY=RPT,UNITS=AUTO,DATE=NOW')")</f>
        <v/>
      </c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</row>
    <row r="34">
      <c r="A34" s="6" t="inlineStr"/>
      <c r="B34" s="2" t="inlineStr">
        <is>
          <t>Gross loans ($M)</t>
        </is>
      </c>
      <c r="C34" s="11" t="inlineStr">
        <is>
          <t>FE_TIMESERIES(LOAN_GROSS)</t>
        </is>
      </c>
      <c r="D34" s="12" t="inlineStr">
        <is>
          <t>Verified</t>
        </is>
      </c>
      <c r="E34" s="17">
        <f>FDSRC("-",$C$3,"FE_TIMESERIES(LOAN_GROSS,MEAN,"&amp;$E$5&amp;","&amp;$P$5&amp;",FQ,'BKRACTMED=1,WIN=0,CURRENCY=RPT,UNITS=AUTO,DATE=NOW')")</f>
        <v/>
      </c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</row>
    <row r="35">
      <c r="A35" s="6" t="inlineStr"/>
      <c r="B35" s="2" t="inlineStr">
        <is>
          <t>Deposits ($M)</t>
        </is>
      </c>
      <c r="C35" s="11" t="inlineStr">
        <is>
          <t>FE_TIMESERIES(DEPS)</t>
        </is>
      </c>
      <c r="D35" s="12" t="inlineStr">
        <is>
          <t>Verified</t>
        </is>
      </c>
      <c r="E35" s="17">
        <f>FDSRC("-",$C$3,"FE_TIMESERIES(DEPS,MEAN,"&amp;$E$5&amp;","&amp;$P$5&amp;",FQ,'BKRACTMED=1,WIN=0,CURRENCY=RPT,UNITS=AUTO,DATE=NOW')")</f>
        <v/>
      </c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</row>
    <row r="36">
      <c r="A36" s="6" t="inlineStr"/>
      <c r="B36" s="2" t="inlineStr">
        <is>
          <t>TBVPS ($)</t>
        </is>
      </c>
      <c r="C36" s="11" t="inlineStr">
        <is>
          <t>FE_TIMESERIES(BPS_TANG)</t>
        </is>
      </c>
      <c r="D36" s="12" t="inlineStr">
        <is>
          <t>Verified</t>
        </is>
      </c>
      <c r="E36" s="19">
        <f>FDSRC("-",$C$3,"FE_TIMESERIES(BPS_TANG,MEAN,"&amp;$E$5&amp;","&amp;$P$5&amp;",FQ,'BKRACTMED=1,WIN=0,CURRENCY=RPT,UNITS=AUTO,DATE=NOW')")</f>
        <v/>
      </c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</row>
    <row r="37">
      <c r="A37" s="6" t="inlineStr"/>
      <c r="B37" s="2" t="inlineStr">
        <is>
          <t>Intangibles ($M)</t>
        </is>
      </c>
      <c r="C37" s="11" t="inlineStr">
        <is>
          <t>FE_TIMESERIES(INTANG)</t>
        </is>
      </c>
      <c r="D37" s="12" t="inlineStr">
        <is>
          <t>Verified</t>
        </is>
      </c>
      <c r="E37" s="17">
        <f>FDSRC("-",$C$3,"FE_TIMESERIES(INTANG,MEAN,"&amp;$E$5&amp;","&amp;$P$5&amp;",FQ,'BKRACTMED=1,WIN=0,CURRENCY=RPT,UNITS=AUTO,DATE=NOW')")</f>
        <v/>
      </c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</row>
    <row r="38">
      <c r="A38" s="14" t="inlineStr">
        <is>
          <t>Credit</t>
        </is>
      </c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</row>
    <row r="39">
      <c r="A39" s="6" t="inlineStr"/>
      <c r="B39" s="2" t="inlineStr">
        <is>
          <t>NCO / loans (%)</t>
        </is>
      </c>
      <c r="C39" s="11" t="inlineStr">
        <is>
          <t>FE_TIMESERIES_VALUATION(NETCHARGE_LOANNET)</t>
        </is>
      </c>
      <c r="D39" s="12" t="inlineStr">
        <is>
          <t>Verified</t>
        </is>
      </c>
      <c r="E39" s="18">
        <f>FDSRC("-",$C$3,"FE_TIMESERIES_VALUATION(NETCHARGE_LOANNET,MEAN,"&amp;$E$5&amp;","&amp;$P$5&amp;",FQ,'BKRACTMED=1,WIN=0,UNITS=AUTO,DATE=NOW,CALC=LTMA')")</f>
        <v/>
      </c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</row>
    <row r="40">
      <c r="A40" s="6" t="inlineStr"/>
      <c r="B40" s="2" t="inlineStr">
        <is>
          <t>NPL ratio (%)</t>
        </is>
      </c>
      <c r="C40" s="11" t="inlineStr">
        <is>
          <t>FE_TIMESERIES_VALUATION(NPL)</t>
        </is>
      </c>
      <c r="D40" s="12" t="inlineStr">
        <is>
          <t>Verified</t>
        </is>
      </c>
      <c r="E40" s="18">
        <f>FDSRC("-",$C$3,"FE_TIMESERIES_VALUATION(NPL,MEAN,"&amp;$E$5&amp;","&amp;$P$5&amp;",FQ,'BKRACTMED=1,WIN=0,UNITS=AUTO,DATE=NOW,CALC=LTMA')")</f>
        <v/>
      </c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</row>
    <row r="41">
      <c r="A41" s="6" t="inlineStr"/>
      <c r="B41" s="2" t="inlineStr">
        <is>
          <t>NPAs / loans + OREO (%)</t>
        </is>
      </c>
      <c r="C41" s="11" t="inlineStr">
        <is>
          <t>FE_TIMESERIES(LOANOREO_NONPERF)</t>
        </is>
      </c>
      <c r="D41" s="12" t="inlineStr">
        <is>
          <t>Verified</t>
        </is>
      </c>
      <c r="E41" s="18">
        <f>FDSRC("-",$C$3,"FE_TIMESERIES(LOANOREO_NONPERF,MEAN,"&amp;$E$5&amp;","&amp;$P$5&amp;",FQ,'BKRACTMED=1,WIN=0,CURRENCY=RPT,UNITS=AUTO,DATE=NOW')")</f>
        <v/>
      </c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</row>
    <row r="42">
      <c r="A42" s="14" t="inlineStr">
        <is>
          <t>Capital</t>
        </is>
      </c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</row>
    <row r="43">
      <c r="A43" s="6" t="inlineStr"/>
      <c r="B43" s="2" t="inlineStr">
        <is>
          <t>CET1 ratio (%)</t>
        </is>
      </c>
      <c r="C43" s="11" t="inlineStr">
        <is>
          <t>FE_TIMESERIES(COMCAP_RATIO_TIER1)</t>
        </is>
      </c>
      <c r="D43" s="12" t="inlineStr">
        <is>
          <t>Verified</t>
        </is>
      </c>
      <c r="E43" s="18">
        <f>FDSRC("-",$C$3,"FE_TIMESERIES(COMCAP_RATIO_TIER1,MEAN,"&amp;$E$5&amp;","&amp;$P$5&amp;",FQ,'BKRACTMED=1,WIN=0,CURRENCY=RPT,UNITS=AUTO,DATE=NOW')")</f>
        <v/>
      </c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</row>
    <row r="44">
      <c r="A44" s="6" t="inlineStr"/>
      <c r="B44" s="2" t="inlineStr">
        <is>
          <t>CET1 capital ($M)</t>
        </is>
      </c>
      <c r="C44" s="11" t="inlineStr">
        <is>
          <t>FE_TIMESERIES(COM_EQUITY_TIER1)</t>
        </is>
      </c>
      <c r="D44" s="12" t="inlineStr">
        <is>
          <t>Verified</t>
        </is>
      </c>
      <c r="E44" s="17">
        <f>FDSRC("-",$C$3,"FE_TIMESERIES(COM_EQUITY_TIER1,MEAN,"&amp;$E$5&amp;","&amp;$P$5&amp;",FQ,'BKRACTMED=1,WIN=0,CURRENCY=RPT,UNITS=AUTO,DATE=NOW')")</f>
        <v/>
      </c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</row>
    <row r="45">
      <c r="A45" s="6" t="inlineStr"/>
      <c r="B45" s="2" t="inlineStr">
        <is>
          <t>RWA ($M)</t>
        </is>
      </c>
      <c r="C45" s="11" t="inlineStr">
        <is>
          <t>FE_TIMESERIES(ASSETS_RISK_WGHT)</t>
        </is>
      </c>
      <c r="D45" s="12" t="inlineStr">
        <is>
          <t>Verified</t>
        </is>
      </c>
      <c r="E45" s="17">
        <f>FDSRC("-",$C$3,"FE_TIMESERIES(ASSETS_RISK_WGHT,MEAN,"&amp;$E$5&amp;","&amp;$P$5&amp;",FQ,'BKRACTMED=1,WIN=0,CURRENCY=RPT,UNITS=AUTO,DATE=NOW')")</f>
        <v/>
      </c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</row>
    <row r="46">
      <c r="A46" s="14" t="inlineStr">
        <is>
          <t>Shareholder returns</t>
        </is>
      </c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</row>
    <row r="47">
      <c r="A47" s="6" t="inlineStr"/>
      <c r="B47" s="2" t="inlineStr">
        <is>
          <t>Share repurchases ($M)</t>
        </is>
      </c>
      <c r="C47" s="11" t="inlineStr">
        <is>
          <t>FE_TIMESERIES(SHS_REPURCH)</t>
        </is>
      </c>
      <c r="D47" s="12" t="inlineStr">
        <is>
          <t>Verified</t>
        </is>
      </c>
      <c r="E47" s="17">
        <f>FDSRC("-",$C$3,"FE_TIMESERIES(SHS_REPURCH,MEAN,"&amp;$E$5&amp;","&amp;$P$5&amp;",FQ,'BKRACTMED=1,WIN=0,CURRENCY=RPT,UNITS=AUTO,DATE=NOW')")</f>
        <v/>
      </c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</row>
    <row r="48">
      <c r="A48" s="6" t="inlineStr"/>
      <c r="B48" s="2" t="inlineStr">
        <is>
          <t>DPS ($)</t>
        </is>
      </c>
      <c r="C48" s="11" t="inlineStr">
        <is>
          <t>FE_TIMESERIES(NETDIV)</t>
        </is>
      </c>
      <c r="D48" s="12" t="inlineStr">
        <is>
          <t>Verified</t>
        </is>
      </c>
      <c r="E48" s="19">
        <f>FDSRC("-",$C$3,"FE_TIMESERIES(NETDIV,MEAN,"&amp;$E$5&amp;","&amp;$P$5&amp;",FQ,'BKRACTMED=1,WIN=0,CURRENCY=RPT,UNITS=AUTO,DATE=NOW')")</f>
        <v/>
      </c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</row>
    <row r="49">
      <c r="A49" s="14" t="inlineStr">
        <is>
          <t>Guidance</t>
        </is>
      </c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</row>
    <row r="50">
      <c r="A50" s="6" t="inlineStr"/>
      <c r="B50" s="2" t="inlineStr">
        <is>
          <t>Efficiency ratio guidance - low (%)</t>
        </is>
      </c>
      <c r="C50" s="11" t="inlineStr">
        <is>
          <t>FE_TIMESERIES_GUIDANCE(COST_INCOME,LOW)</t>
        </is>
      </c>
      <c r="D50" s="12" t="inlineStr">
        <is>
          <t>Verified</t>
        </is>
      </c>
      <c r="E50" s="18">
        <f>FDSRC("-",$C$3,"FE_TIMESERIES_GUIDANCE(COST_INCOME,LOW,"&amp;$E$5&amp;","&amp;$P$5&amp;",FQ,'BKRACTMED=1,WIN=0,CURRENCY=RPT,UNITS=AUTO,DATE=NOW')")</f>
        <v/>
      </c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</row>
  </sheetData>
  <conditionalFormatting sqref="E7:P50">
    <cfRule type="expression" priority="1" dxfId="0">
      <formula>IFERROR(E7="-",ISNA(E7))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2026-10-02T16:27:46Z</dcterms:created>
  <dcterms:modified xsi:type="dcterms:W3CDTF">2026-10-02T16:27:47Z</dcterms:modified>
</cp:coreProperties>
</file>